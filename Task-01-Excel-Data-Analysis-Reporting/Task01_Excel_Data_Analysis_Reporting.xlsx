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3810ddd8279153/Desktop/DataAnalytics/"/>
    </mc:Choice>
  </mc:AlternateContent>
  <xr:revisionPtr revIDLastSave="3" documentId="8_{A5B15248-931C-4E25-A4BA-F648591FD943}" xr6:coauthVersionLast="47" xr6:coauthVersionMax="47" xr10:uidLastSave="{2F3F2566-8831-41DF-BB57-39AA89631590}"/>
  <bookViews>
    <workbookView xWindow="-108" yWindow="-108" windowWidth="23256" windowHeight="12456" activeTab="1" xr2:uid="{00000000-000D-0000-FFFF-FFFF00000000}"/>
  </bookViews>
  <sheets>
    <sheet name="Raw Data" sheetId="1" r:id="rId1"/>
    <sheet name="Cleaned Data" sheetId="2" r:id="rId2"/>
    <sheet name="Analysis" sheetId="3" r:id="rId3"/>
    <sheet name="Pivot Analysis" sheetId="4" r:id="rId4"/>
    <sheet name="Dashboard" sheetId="5" r:id="rId5"/>
    <sheet name="Methodology" sheetId="6" r:id="rId6"/>
  </sheets>
  <definedNames>
    <definedName name="_xlnm._FilterDatabase" localSheetId="1" hidden="1">'Cleaned Data'!$A$1:$R$251</definedName>
    <definedName name="_xlnm._FilterDatabase" localSheetId="0" hidden="1">'Raw Data'!$A$1:$J$252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D5" i="5"/>
  <c r="C19" i="4"/>
  <c r="C18" i="4"/>
  <c r="C17" i="4"/>
  <c r="C16" i="4"/>
  <c r="C15" i="4"/>
  <c r="C14" i="4"/>
  <c r="H9" i="4"/>
  <c r="G9" i="4"/>
  <c r="H8" i="4"/>
  <c r="D8" i="4"/>
  <c r="C8" i="4"/>
  <c r="H7" i="4"/>
  <c r="D7" i="4"/>
  <c r="C7" i="4"/>
  <c r="H6" i="4"/>
  <c r="D6" i="4"/>
  <c r="C6" i="4"/>
  <c r="H5" i="4"/>
  <c r="D5" i="4"/>
  <c r="C5" i="4"/>
  <c r="G17" i="3"/>
  <c r="G16" i="3"/>
  <c r="C16" i="3"/>
  <c r="G15" i="3"/>
  <c r="C15" i="3"/>
  <c r="G14" i="3"/>
  <c r="C14" i="3"/>
  <c r="G13" i="3"/>
  <c r="C13" i="3"/>
  <c r="G12" i="3"/>
  <c r="B6" i="3"/>
  <c r="R251" i="2"/>
  <c r="Q251" i="2"/>
  <c r="P251" i="2"/>
  <c r="O251" i="2"/>
  <c r="K251" i="2"/>
  <c r="R250" i="2"/>
  <c r="Q250" i="2"/>
  <c r="P250" i="2"/>
  <c r="O250" i="2"/>
  <c r="K250" i="2"/>
  <c r="L250" i="2" s="1"/>
  <c r="R249" i="2"/>
  <c r="Q249" i="2"/>
  <c r="P249" i="2"/>
  <c r="O249" i="2"/>
  <c r="K249" i="2"/>
  <c r="L249" i="2" s="1"/>
  <c r="M249" i="2" s="1"/>
  <c r="N249" i="2" s="1"/>
  <c r="R248" i="2"/>
  <c r="Q248" i="2"/>
  <c r="P248" i="2"/>
  <c r="O248" i="2"/>
  <c r="K248" i="2"/>
  <c r="L248" i="2" s="1"/>
  <c r="M248" i="2" s="1"/>
  <c r="N248" i="2" s="1"/>
  <c r="R247" i="2"/>
  <c r="Q247" i="2"/>
  <c r="P247" i="2"/>
  <c r="O247" i="2"/>
  <c r="K247" i="2"/>
  <c r="L247" i="2" s="1"/>
  <c r="R246" i="2"/>
  <c r="Q246" i="2"/>
  <c r="P246" i="2"/>
  <c r="O246" i="2"/>
  <c r="K246" i="2"/>
  <c r="R245" i="2"/>
  <c r="Q245" i="2"/>
  <c r="P245" i="2"/>
  <c r="O245" i="2"/>
  <c r="K245" i="2"/>
  <c r="L245" i="2" s="1"/>
  <c r="M245" i="2" s="1"/>
  <c r="N245" i="2" s="1"/>
  <c r="R244" i="2"/>
  <c r="Q244" i="2"/>
  <c r="P244" i="2"/>
  <c r="O244" i="2"/>
  <c r="K244" i="2"/>
  <c r="R243" i="2"/>
  <c r="Q243" i="2"/>
  <c r="P243" i="2"/>
  <c r="O243" i="2"/>
  <c r="K243" i="2"/>
  <c r="L243" i="2" s="1"/>
  <c r="M243" i="2" s="1"/>
  <c r="N243" i="2" s="1"/>
  <c r="R242" i="2"/>
  <c r="Q242" i="2"/>
  <c r="P242" i="2"/>
  <c r="O242" i="2"/>
  <c r="K242" i="2"/>
  <c r="L242" i="2" s="1"/>
  <c r="M242" i="2" s="1"/>
  <c r="N242" i="2" s="1"/>
  <c r="R241" i="2"/>
  <c r="Q241" i="2"/>
  <c r="P241" i="2"/>
  <c r="O241" i="2"/>
  <c r="K241" i="2"/>
  <c r="R240" i="2"/>
  <c r="Q240" i="2"/>
  <c r="P240" i="2"/>
  <c r="O240" i="2"/>
  <c r="K240" i="2"/>
  <c r="L240" i="2" s="1"/>
  <c r="R239" i="2"/>
  <c r="Q239" i="2"/>
  <c r="P239" i="2"/>
  <c r="O239" i="2"/>
  <c r="K239" i="2"/>
  <c r="L239" i="2" s="1"/>
  <c r="M239" i="2" s="1"/>
  <c r="N239" i="2" s="1"/>
  <c r="R238" i="2"/>
  <c r="Q238" i="2"/>
  <c r="P238" i="2"/>
  <c r="O238" i="2"/>
  <c r="K238" i="2"/>
  <c r="L238" i="2" s="1"/>
  <c r="R237" i="2"/>
  <c r="Q237" i="2"/>
  <c r="P237" i="2"/>
  <c r="O237" i="2"/>
  <c r="K237" i="2"/>
  <c r="L237" i="2" s="1"/>
  <c r="R236" i="2"/>
  <c r="Q236" i="2"/>
  <c r="P236" i="2"/>
  <c r="O236" i="2"/>
  <c r="K236" i="2"/>
  <c r="L236" i="2" s="1"/>
  <c r="R235" i="2"/>
  <c r="Q235" i="2"/>
  <c r="P235" i="2"/>
  <c r="O235" i="2"/>
  <c r="K235" i="2"/>
  <c r="R234" i="2"/>
  <c r="Q234" i="2"/>
  <c r="P234" i="2"/>
  <c r="O234" i="2"/>
  <c r="K234" i="2"/>
  <c r="L234" i="2" s="1"/>
  <c r="M234" i="2" s="1"/>
  <c r="N234" i="2" s="1"/>
  <c r="R233" i="2"/>
  <c r="Q233" i="2"/>
  <c r="P233" i="2"/>
  <c r="O233" i="2"/>
  <c r="K233" i="2"/>
  <c r="R232" i="2"/>
  <c r="Q232" i="2"/>
  <c r="P232" i="2"/>
  <c r="O232" i="2"/>
  <c r="K232" i="2"/>
  <c r="L232" i="2" s="1"/>
  <c r="R231" i="2"/>
  <c r="Q231" i="2"/>
  <c r="P231" i="2"/>
  <c r="O231" i="2"/>
  <c r="K231" i="2"/>
  <c r="R230" i="2"/>
  <c r="Q230" i="2"/>
  <c r="P230" i="2"/>
  <c r="O230" i="2"/>
  <c r="K230" i="2"/>
  <c r="L230" i="2" s="1"/>
  <c r="M230" i="2" s="1"/>
  <c r="N230" i="2" s="1"/>
  <c r="R229" i="2"/>
  <c r="Q229" i="2"/>
  <c r="P229" i="2"/>
  <c r="O229" i="2"/>
  <c r="K229" i="2"/>
  <c r="L229" i="2" s="1"/>
  <c r="R228" i="2"/>
  <c r="Q228" i="2"/>
  <c r="P228" i="2"/>
  <c r="O228" i="2"/>
  <c r="K228" i="2"/>
  <c r="R227" i="2"/>
  <c r="Q227" i="2"/>
  <c r="P227" i="2"/>
  <c r="O227" i="2"/>
  <c r="K227" i="2"/>
  <c r="L227" i="2" s="1"/>
  <c r="M227" i="2" s="1"/>
  <c r="N227" i="2" s="1"/>
  <c r="R226" i="2"/>
  <c r="Q226" i="2"/>
  <c r="P226" i="2"/>
  <c r="O226" i="2"/>
  <c r="K226" i="2"/>
  <c r="R225" i="2"/>
  <c r="Q225" i="2"/>
  <c r="P225" i="2"/>
  <c r="O225" i="2"/>
  <c r="K225" i="2"/>
  <c r="L225" i="2" s="1"/>
  <c r="R224" i="2"/>
  <c r="Q224" i="2"/>
  <c r="P224" i="2"/>
  <c r="O224" i="2"/>
  <c r="K224" i="2"/>
  <c r="R223" i="2"/>
  <c r="Q223" i="2"/>
  <c r="P223" i="2"/>
  <c r="O223" i="2"/>
  <c r="K223" i="2"/>
  <c r="R222" i="2"/>
  <c r="Q222" i="2"/>
  <c r="P222" i="2"/>
  <c r="O222" i="2"/>
  <c r="K222" i="2"/>
  <c r="L222" i="2" s="1"/>
  <c r="M222" i="2" s="1"/>
  <c r="N222" i="2" s="1"/>
  <c r="R221" i="2"/>
  <c r="Q221" i="2"/>
  <c r="P221" i="2"/>
  <c r="O221" i="2"/>
  <c r="K221" i="2"/>
  <c r="L221" i="2" s="1"/>
  <c r="M221" i="2" s="1"/>
  <c r="N221" i="2" s="1"/>
  <c r="R220" i="2"/>
  <c r="Q220" i="2"/>
  <c r="P220" i="2"/>
  <c r="O220" i="2"/>
  <c r="K220" i="2"/>
  <c r="L220" i="2" s="1"/>
  <c r="R219" i="2"/>
  <c r="Q219" i="2"/>
  <c r="P219" i="2"/>
  <c r="O219" i="2"/>
  <c r="K219" i="2"/>
  <c r="L219" i="2" s="1"/>
  <c r="M219" i="2" s="1"/>
  <c r="N219" i="2" s="1"/>
  <c r="R218" i="2"/>
  <c r="Q218" i="2"/>
  <c r="P218" i="2"/>
  <c r="O218" i="2"/>
  <c r="K218" i="2"/>
  <c r="L218" i="2" s="1"/>
  <c r="R217" i="2"/>
  <c r="Q217" i="2"/>
  <c r="P217" i="2"/>
  <c r="O217" i="2"/>
  <c r="K217" i="2"/>
  <c r="L217" i="2" s="1"/>
  <c r="R216" i="2"/>
  <c r="Q216" i="2"/>
  <c r="P216" i="2"/>
  <c r="O216" i="2"/>
  <c r="K216" i="2"/>
  <c r="L216" i="2" s="1"/>
  <c r="M216" i="2" s="1"/>
  <c r="N216" i="2" s="1"/>
  <c r="R215" i="2"/>
  <c r="Q215" i="2"/>
  <c r="P215" i="2"/>
  <c r="O215" i="2"/>
  <c r="K215" i="2"/>
  <c r="R214" i="2"/>
  <c r="Q214" i="2"/>
  <c r="P214" i="2"/>
  <c r="O214" i="2"/>
  <c r="K214" i="2"/>
  <c r="L214" i="2" s="1"/>
  <c r="R213" i="2"/>
  <c r="Q213" i="2"/>
  <c r="P213" i="2"/>
  <c r="O213" i="2"/>
  <c r="K213" i="2"/>
  <c r="L213" i="2" s="1"/>
  <c r="R212" i="2"/>
  <c r="Q212" i="2"/>
  <c r="P212" i="2"/>
  <c r="O212" i="2"/>
  <c r="K212" i="2"/>
  <c r="L212" i="2" s="1"/>
  <c r="R211" i="2"/>
  <c r="Q211" i="2"/>
  <c r="P211" i="2"/>
  <c r="O211" i="2"/>
  <c r="K211" i="2"/>
  <c r="L211" i="2" s="1"/>
  <c r="R210" i="2"/>
  <c r="Q210" i="2"/>
  <c r="P210" i="2"/>
  <c r="O210" i="2"/>
  <c r="K210" i="2"/>
  <c r="R209" i="2"/>
  <c r="Q209" i="2"/>
  <c r="P209" i="2"/>
  <c r="O209" i="2"/>
  <c r="K209" i="2"/>
  <c r="R208" i="2"/>
  <c r="Q208" i="2"/>
  <c r="P208" i="2"/>
  <c r="O208" i="2"/>
  <c r="K208" i="2"/>
  <c r="R207" i="2"/>
  <c r="Q207" i="2"/>
  <c r="P207" i="2"/>
  <c r="O207" i="2"/>
  <c r="K207" i="2"/>
  <c r="L207" i="2" s="1"/>
  <c r="M207" i="2" s="1"/>
  <c r="N207" i="2" s="1"/>
  <c r="R206" i="2"/>
  <c r="Q206" i="2"/>
  <c r="P206" i="2"/>
  <c r="O206" i="2"/>
  <c r="K206" i="2"/>
  <c r="R205" i="2"/>
  <c r="Q205" i="2"/>
  <c r="P205" i="2"/>
  <c r="O205" i="2"/>
  <c r="K205" i="2"/>
  <c r="R204" i="2"/>
  <c r="Q204" i="2"/>
  <c r="P204" i="2"/>
  <c r="O204" i="2"/>
  <c r="K204" i="2"/>
  <c r="L204" i="2" s="1"/>
  <c r="M204" i="2" s="1"/>
  <c r="N204" i="2" s="1"/>
  <c r="R203" i="2"/>
  <c r="Q203" i="2"/>
  <c r="P203" i="2"/>
  <c r="O203" i="2"/>
  <c r="K203" i="2"/>
  <c r="R202" i="2"/>
  <c r="Q202" i="2"/>
  <c r="P202" i="2"/>
  <c r="O202" i="2"/>
  <c r="K202" i="2"/>
  <c r="L202" i="2" s="1"/>
  <c r="R201" i="2"/>
  <c r="Q201" i="2"/>
  <c r="P201" i="2"/>
  <c r="O201" i="2"/>
  <c r="K201" i="2"/>
  <c r="L201" i="2" s="1"/>
  <c r="M201" i="2" s="1"/>
  <c r="N201" i="2" s="1"/>
  <c r="R200" i="2"/>
  <c r="Q200" i="2"/>
  <c r="P200" i="2"/>
  <c r="O200" i="2"/>
  <c r="K200" i="2"/>
  <c r="L200" i="2" s="1"/>
  <c r="R199" i="2"/>
  <c r="Q199" i="2"/>
  <c r="P199" i="2"/>
  <c r="O199" i="2"/>
  <c r="K199" i="2"/>
  <c r="L199" i="2" s="1"/>
  <c r="R198" i="2"/>
  <c r="Q198" i="2"/>
  <c r="P198" i="2"/>
  <c r="O198" i="2"/>
  <c r="K198" i="2"/>
  <c r="R197" i="2"/>
  <c r="Q197" i="2"/>
  <c r="P197" i="2"/>
  <c r="O197" i="2"/>
  <c r="K197" i="2"/>
  <c r="R196" i="2"/>
  <c r="Q196" i="2"/>
  <c r="P196" i="2"/>
  <c r="O196" i="2"/>
  <c r="K196" i="2"/>
  <c r="L196" i="2" s="1"/>
  <c r="R195" i="2"/>
  <c r="Q195" i="2"/>
  <c r="P195" i="2"/>
  <c r="O195" i="2"/>
  <c r="K195" i="2"/>
  <c r="L195" i="2" s="1"/>
  <c r="R194" i="2"/>
  <c r="Q194" i="2"/>
  <c r="P194" i="2"/>
  <c r="O194" i="2"/>
  <c r="K194" i="2"/>
  <c r="L194" i="2" s="1"/>
  <c r="M194" i="2" s="1"/>
  <c r="N194" i="2" s="1"/>
  <c r="R193" i="2"/>
  <c r="Q193" i="2"/>
  <c r="P193" i="2"/>
  <c r="O193" i="2"/>
  <c r="K193" i="2"/>
  <c r="L193" i="2" s="1"/>
  <c r="R192" i="2"/>
  <c r="Q192" i="2"/>
  <c r="P192" i="2"/>
  <c r="O192" i="2"/>
  <c r="K192" i="2"/>
  <c r="R191" i="2"/>
  <c r="Q191" i="2"/>
  <c r="P191" i="2"/>
  <c r="O191" i="2"/>
  <c r="K191" i="2"/>
  <c r="R190" i="2"/>
  <c r="Q190" i="2"/>
  <c r="P190" i="2"/>
  <c r="O190" i="2"/>
  <c r="K190" i="2"/>
  <c r="R189" i="2"/>
  <c r="Q189" i="2"/>
  <c r="P189" i="2"/>
  <c r="O189" i="2"/>
  <c r="K189" i="2"/>
  <c r="L189" i="2" s="1"/>
  <c r="R188" i="2"/>
  <c r="Q188" i="2"/>
  <c r="P188" i="2"/>
  <c r="O188" i="2"/>
  <c r="K188" i="2"/>
  <c r="L188" i="2" s="1"/>
  <c r="R187" i="2"/>
  <c r="Q187" i="2"/>
  <c r="P187" i="2"/>
  <c r="O187" i="2"/>
  <c r="K187" i="2"/>
  <c r="R186" i="2"/>
  <c r="Q186" i="2"/>
  <c r="P186" i="2"/>
  <c r="O186" i="2"/>
  <c r="K186" i="2"/>
  <c r="R185" i="2"/>
  <c r="Q185" i="2"/>
  <c r="P185" i="2"/>
  <c r="O185" i="2"/>
  <c r="K185" i="2"/>
  <c r="R184" i="2"/>
  <c r="Q184" i="2"/>
  <c r="P184" i="2"/>
  <c r="O184" i="2"/>
  <c r="K184" i="2"/>
  <c r="L184" i="2" s="1"/>
  <c r="R183" i="2"/>
  <c r="Q183" i="2"/>
  <c r="P183" i="2"/>
  <c r="O183" i="2"/>
  <c r="K183" i="2"/>
  <c r="R182" i="2"/>
  <c r="Q182" i="2"/>
  <c r="P182" i="2"/>
  <c r="O182" i="2"/>
  <c r="K182" i="2"/>
  <c r="L182" i="2" s="1"/>
  <c r="R181" i="2"/>
  <c r="Q181" i="2"/>
  <c r="P181" i="2"/>
  <c r="O181" i="2"/>
  <c r="K181" i="2"/>
  <c r="R180" i="2"/>
  <c r="Q180" i="2"/>
  <c r="P180" i="2"/>
  <c r="O180" i="2"/>
  <c r="K180" i="2"/>
  <c r="L180" i="2" s="1"/>
  <c r="R179" i="2"/>
  <c r="Q179" i="2"/>
  <c r="P179" i="2"/>
  <c r="O179" i="2"/>
  <c r="K179" i="2"/>
  <c r="R178" i="2"/>
  <c r="Q178" i="2"/>
  <c r="P178" i="2"/>
  <c r="O178" i="2"/>
  <c r="K178" i="2"/>
  <c r="L178" i="2" s="1"/>
  <c r="R177" i="2"/>
  <c r="Q177" i="2"/>
  <c r="P177" i="2"/>
  <c r="O177" i="2"/>
  <c r="K177" i="2"/>
  <c r="R176" i="2"/>
  <c r="Q176" i="2"/>
  <c r="P176" i="2"/>
  <c r="O176" i="2"/>
  <c r="K176" i="2"/>
  <c r="L176" i="2" s="1"/>
  <c r="R175" i="2"/>
  <c r="Q175" i="2"/>
  <c r="P175" i="2"/>
  <c r="O175" i="2"/>
  <c r="K175" i="2"/>
  <c r="L175" i="2" s="1"/>
  <c r="R174" i="2"/>
  <c r="Q174" i="2"/>
  <c r="P174" i="2"/>
  <c r="O174" i="2"/>
  <c r="K174" i="2"/>
  <c r="R173" i="2"/>
  <c r="Q173" i="2"/>
  <c r="P173" i="2"/>
  <c r="O173" i="2"/>
  <c r="K173" i="2"/>
  <c r="R172" i="2"/>
  <c r="Q172" i="2"/>
  <c r="P172" i="2"/>
  <c r="O172" i="2"/>
  <c r="K172" i="2"/>
  <c r="R171" i="2"/>
  <c r="Q171" i="2"/>
  <c r="P171" i="2"/>
  <c r="O171" i="2"/>
  <c r="K171" i="2"/>
  <c r="L171" i="2" s="1"/>
  <c r="R170" i="2"/>
  <c r="Q170" i="2"/>
  <c r="P170" i="2"/>
  <c r="O170" i="2"/>
  <c r="K170" i="2"/>
  <c r="L170" i="2" s="1"/>
  <c r="M170" i="2" s="1"/>
  <c r="N170" i="2" s="1"/>
  <c r="R169" i="2"/>
  <c r="Q169" i="2"/>
  <c r="P169" i="2"/>
  <c r="O169" i="2"/>
  <c r="K169" i="2"/>
  <c r="R168" i="2"/>
  <c r="Q168" i="2"/>
  <c r="P168" i="2"/>
  <c r="O168" i="2"/>
  <c r="K168" i="2"/>
  <c r="R167" i="2"/>
  <c r="Q167" i="2"/>
  <c r="P167" i="2"/>
  <c r="O167" i="2"/>
  <c r="K167" i="2"/>
  <c r="L167" i="2" s="1"/>
  <c r="M167" i="2" s="1"/>
  <c r="N167" i="2" s="1"/>
  <c r="R166" i="2"/>
  <c r="Q166" i="2"/>
  <c r="P166" i="2"/>
  <c r="O166" i="2"/>
  <c r="K166" i="2"/>
  <c r="L166" i="2" s="1"/>
  <c r="R165" i="2"/>
  <c r="Q165" i="2"/>
  <c r="P165" i="2"/>
  <c r="O165" i="2"/>
  <c r="K165" i="2"/>
  <c r="L165" i="2" s="1"/>
  <c r="R164" i="2"/>
  <c r="Q164" i="2"/>
  <c r="P164" i="2"/>
  <c r="O164" i="2"/>
  <c r="K164" i="2"/>
  <c r="L164" i="2" s="1"/>
  <c r="R163" i="2"/>
  <c r="Q163" i="2"/>
  <c r="P163" i="2"/>
  <c r="O163" i="2"/>
  <c r="K163" i="2"/>
  <c r="L163" i="2" s="1"/>
  <c r="R162" i="2"/>
  <c r="Q162" i="2"/>
  <c r="P162" i="2"/>
  <c r="O162" i="2"/>
  <c r="K162" i="2"/>
  <c r="L162" i="2" s="1"/>
  <c r="M162" i="2" s="1"/>
  <c r="N162" i="2" s="1"/>
  <c r="R161" i="2"/>
  <c r="Q161" i="2"/>
  <c r="P161" i="2"/>
  <c r="O161" i="2"/>
  <c r="K161" i="2"/>
  <c r="R160" i="2"/>
  <c r="Q160" i="2"/>
  <c r="P160" i="2"/>
  <c r="O160" i="2"/>
  <c r="K160" i="2"/>
  <c r="L160" i="2" s="1"/>
  <c r="R159" i="2"/>
  <c r="Q159" i="2"/>
  <c r="P159" i="2"/>
  <c r="O159" i="2"/>
  <c r="K159" i="2"/>
  <c r="L159" i="2" s="1"/>
  <c r="R158" i="2"/>
  <c r="Q158" i="2"/>
  <c r="P158" i="2"/>
  <c r="O158" i="2"/>
  <c r="K158" i="2"/>
  <c r="L158" i="2" s="1"/>
  <c r="R157" i="2"/>
  <c r="Q157" i="2"/>
  <c r="P157" i="2"/>
  <c r="O157" i="2"/>
  <c r="K157" i="2"/>
  <c r="L157" i="2" s="1"/>
  <c r="R156" i="2"/>
  <c r="Q156" i="2"/>
  <c r="P156" i="2"/>
  <c r="O156" i="2"/>
  <c r="K156" i="2"/>
  <c r="R155" i="2"/>
  <c r="Q155" i="2"/>
  <c r="P155" i="2"/>
  <c r="O155" i="2"/>
  <c r="K155" i="2"/>
  <c r="L155" i="2" s="1"/>
  <c r="M155" i="2" s="1"/>
  <c r="N155" i="2" s="1"/>
  <c r="R154" i="2"/>
  <c r="Q154" i="2"/>
  <c r="P154" i="2"/>
  <c r="O154" i="2"/>
  <c r="K154" i="2"/>
  <c r="R153" i="2"/>
  <c r="Q153" i="2"/>
  <c r="P153" i="2"/>
  <c r="O153" i="2"/>
  <c r="K153" i="2"/>
  <c r="L153" i="2" s="1"/>
  <c r="R152" i="2"/>
  <c r="Q152" i="2"/>
  <c r="P152" i="2"/>
  <c r="O152" i="2"/>
  <c r="K152" i="2"/>
  <c r="L152" i="2" s="1"/>
  <c r="M152" i="2" s="1"/>
  <c r="N152" i="2" s="1"/>
  <c r="R151" i="2"/>
  <c r="Q151" i="2"/>
  <c r="P151" i="2"/>
  <c r="O151" i="2"/>
  <c r="K151" i="2"/>
  <c r="R150" i="2"/>
  <c r="Q150" i="2"/>
  <c r="P150" i="2"/>
  <c r="O150" i="2"/>
  <c r="K150" i="2"/>
  <c r="L150" i="2" s="1"/>
  <c r="M150" i="2" s="1"/>
  <c r="N150" i="2" s="1"/>
  <c r="R149" i="2"/>
  <c r="Q149" i="2"/>
  <c r="P149" i="2"/>
  <c r="O149" i="2"/>
  <c r="K149" i="2"/>
  <c r="L149" i="2" s="1"/>
  <c r="R148" i="2"/>
  <c r="Q148" i="2"/>
  <c r="P148" i="2"/>
  <c r="O148" i="2"/>
  <c r="K148" i="2"/>
  <c r="L148" i="2" s="1"/>
  <c r="R147" i="2"/>
  <c r="Q147" i="2"/>
  <c r="P147" i="2"/>
  <c r="O147" i="2"/>
  <c r="K147" i="2"/>
  <c r="R146" i="2"/>
  <c r="Q146" i="2"/>
  <c r="P146" i="2"/>
  <c r="O146" i="2"/>
  <c r="K146" i="2"/>
  <c r="L146" i="2" s="1"/>
  <c r="R145" i="2"/>
  <c r="Q145" i="2"/>
  <c r="P145" i="2"/>
  <c r="O145" i="2"/>
  <c r="K145" i="2"/>
  <c r="L145" i="2" s="1"/>
  <c r="R144" i="2"/>
  <c r="Q144" i="2"/>
  <c r="P144" i="2"/>
  <c r="O144" i="2"/>
  <c r="K144" i="2"/>
  <c r="L144" i="2" s="1"/>
  <c r="M144" i="2" s="1"/>
  <c r="N144" i="2" s="1"/>
  <c r="R143" i="2"/>
  <c r="Q143" i="2"/>
  <c r="P143" i="2"/>
  <c r="O143" i="2"/>
  <c r="K143" i="2"/>
  <c r="R142" i="2"/>
  <c r="Q142" i="2"/>
  <c r="P142" i="2"/>
  <c r="O142" i="2"/>
  <c r="K142" i="2"/>
  <c r="L142" i="2" s="1"/>
  <c r="R141" i="2"/>
  <c r="Q141" i="2"/>
  <c r="P141" i="2"/>
  <c r="O141" i="2"/>
  <c r="K141" i="2"/>
  <c r="L141" i="2" s="1"/>
  <c r="R140" i="2"/>
  <c r="Q140" i="2"/>
  <c r="P140" i="2"/>
  <c r="O140" i="2"/>
  <c r="K140" i="2"/>
  <c r="L140" i="2" s="1"/>
  <c r="R139" i="2"/>
  <c r="Q139" i="2"/>
  <c r="P139" i="2"/>
  <c r="O139" i="2"/>
  <c r="K139" i="2"/>
  <c r="R138" i="2"/>
  <c r="Q138" i="2"/>
  <c r="P138" i="2"/>
  <c r="O138" i="2"/>
  <c r="K138" i="2"/>
  <c r="R137" i="2"/>
  <c r="Q137" i="2"/>
  <c r="P137" i="2"/>
  <c r="O137" i="2"/>
  <c r="K137" i="2"/>
  <c r="R136" i="2"/>
  <c r="Q136" i="2"/>
  <c r="P136" i="2"/>
  <c r="O136" i="2"/>
  <c r="K136" i="2"/>
  <c r="R135" i="2"/>
  <c r="Q135" i="2"/>
  <c r="P135" i="2"/>
  <c r="O135" i="2"/>
  <c r="K135" i="2"/>
  <c r="L135" i="2" s="1"/>
  <c r="M135" i="2" s="1"/>
  <c r="N135" i="2" s="1"/>
  <c r="R134" i="2"/>
  <c r="Q134" i="2"/>
  <c r="P134" i="2"/>
  <c r="O134" i="2"/>
  <c r="K134" i="2"/>
  <c r="R133" i="2"/>
  <c r="Q133" i="2"/>
  <c r="P133" i="2"/>
  <c r="O133" i="2"/>
  <c r="K133" i="2"/>
  <c r="R132" i="2"/>
  <c r="Q132" i="2"/>
  <c r="P132" i="2"/>
  <c r="O132" i="2"/>
  <c r="K132" i="2"/>
  <c r="L132" i="2" s="1"/>
  <c r="R131" i="2"/>
  <c r="Q131" i="2"/>
  <c r="P131" i="2"/>
  <c r="O131" i="2"/>
  <c r="K131" i="2"/>
  <c r="R130" i="2"/>
  <c r="Q130" i="2"/>
  <c r="P130" i="2"/>
  <c r="O130" i="2"/>
  <c r="K130" i="2"/>
  <c r="L130" i="2" s="1"/>
  <c r="R129" i="2"/>
  <c r="Q129" i="2"/>
  <c r="P129" i="2"/>
  <c r="O129" i="2"/>
  <c r="K129" i="2"/>
  <c r="L129" i="2" s="1"/>
  <c r="M129" i="2" s="1"/>
  <c r="N129" i="2" s="1"/>
  <c r="R128" i="2"/>
  <c r="Q128" i="2"/>
  <c r="P128" i="2"/>
  <c r="O128" i="2"/>
  <c r="K128" i="2"/>
  <c r="R127" i="2"/>
  <c r="Q127" i="2"/>
  <c r="P127" i="2"/>
  <c r="O127" i="2"/>
  <c r="K127" i="2"/>
  <c r="L127" i="2" s="1"/>
  <c r="R126" i="2"/>
  <c r="Q126" i="2"/>
  <c r="P126" i="2"/>
  <c r="O126" i="2"/>
  <c r="K126" i="2"/>
  <c r="R125" i="2"/>
  <c r="Q125" i="2"/>
  <c r="P125" i="2"/>
  <c r="O125" i="2"/>
  <c r="K125" i="2"/>
  <c r="R124" i="2"/>
  <c r="Q124" i="2"/>
  <c r="P124" i="2"/>
  <c r="O124" i="2"/>
  <c r="K124" i="2"/>
  <c r="R123" i="2"/>
  <c r="Q123" i="2"/>
  <c r="P123" i="2"/>
  <c r="O123" i="2"/>
  <c r="K123" i="2"/>
  <c r="L123" i="2" s="1"/>
  <c r="R122" i="2"/>
  <c r="Q122" i="2"/>
  <c r="P122" i="2"/>
  <c r="O122" i="2"/>
  <c r="K122" i="2"/>
  <c r="L122" i="2" s="1"/>
  <c r="M122" i="2" s="1"/>
  <c r="N122" i="2" s="1"/>
  <c r="R121" i="2"/>
  <c r="Q121" i="2"/>
  <c r="P121" i="2"/>
  <c r="O121" i="2"/>
  <c r="K121" i="2"/>
  <c r="L121" i="2" s="1"/>
  <c r="R120" i="2"/>
  <c r="Q120" i="2"/>
  <c r="P120" i="2"/>
  <c r="O120" i="2"/>
  <c r="K120" i="2"/>
  <c r="R119" i="2"/>
  <c r="Q119" i="2"/>
  <c r="P119" i="2"/>
  <c r="O119" i="2"/>
  <c r="K119" i="2"/>
  <c r="R118" i="2"/>
  <c r="Q118" i="2"/>
  <c r="P118" i="2"/>
  <c r="O118" i="2"/>
  <c r="K118" i="2"/>
  <c r="R117" i="2"/>
  <c r="Q117" i="2"/>
  <c r="P117" i="2"/>
  <c r="O117" i="2"/>
  <c r="K117" i="2"/>
  <c r="L117" i="2" s="1"/>
  <c r="M117" i="2" s="1"/>
  <c r="N117" i="2" s="1"/>
  <c r="R116" i="2"/>
  <c r="Q116" i="2"/>
  <c r="P116" i="2"/>
  <c r="O116" i="2"/>
  <c r="K116" i="2"/>
  <c r="R115" i="2"/>
  <c r="Q115" i="2"/>
  <c r="P115" i="2"/>
  <c r="O115" i="2"/>
  <c r="K115" i="2"/>
  <c r="R114" i="2"/>
  <c r="Q114" i="2"/>
  <c r="P114" i="2"/>
  <c r="O114" i="2"/>
  <c r="K114" i="2"/>
  <c r="R113" i="2"/>
  <c r="Q113" i="2"/>
  <c r="P113" i="2"/>
  <c r="O113" i="2"/>
  <c r="K113" i="2"/>
  <c r="L113" i="2" s="1"/>
  <c r="R112" i="2"/>
  <c r="Q112" i="2"/>
  <c r="P112" i="2"/>
  <c r="O112" i="2"/>
  <c r="K112" i="2"/>
  <c r="L112" i="2" s="1"/>
  <c r="R111" i="2"/>
  <c r="Q111" i="2"/>
  <c r="P111" i="2"/>
  <c r="O111" i="2"/>
  <c r="K111" i="2"/>
  <c r="R110" i="2"/>
  <c r="Q110" i="2"/>
  <c r="P110" i="2"/>
  <c r="O110" i="2"/>
  <c r="K110" i="2"/>
  <c r="L110" i="2" s="1"/>
  <c r="R109" i="2"/>
  <c r="Q109" i="2"/>
  <c r="P109" i="2"/>
  <c r="O109" i="2"/>
  <c r="K109" i="2"/>
  <c r="L109" i="2" s="1"/>
  <c r="R108" i="2"/>
  <c r="Q108" i="2"/>
  <c r="P108" i="2"/>
  <c r="O108" i="2"/>
  <c r="K108" i="2"/>
  <c r="R107" i="2"/>
  <c r="Q107" i="2"/>
  <c r="P107" i="2"/>
  <c r="O107" i="2"/>
  <c r="K107" i="2"/>
  <c r="R106" i="2"/>
  <c r="Q106" i="2"/>
  <c r="P106" i="2"/>
  <c r="O106" i="2"/>
  <c r="K106" i="2"/>
  <c r="L106" i="2" s="1"/>
  <c r="R105" i="2"/>
  <c r="Q105" i="2"/>
  <c r="P105" i="2"/>
  <c r="O105" i="2"/>
  <c r="K105" i="2"/>
  <c r="L105" i="2" s="1"/>
  <c r="R104" i="2"/>
  <c r="Q104" i="2"/>
  <c r="P104" i="2"/>
  <c r="O104" i="2"/>
  <c r="K104" i="2"/>
  <c r="L104" i="2" s="1"/>
  <c r="M104" i="2" s="1"/>
  <c r="N104" i="2" s="1"/>
  <c r="R103" i="2"/>
  <c r="Q103" i="2"/>
  <c r="P103" i="2"/>
  <c r="O103" i="2"/>
  <c r="K103" i="2"/>
  <c r="L103" i="2" s="1"/>
  <c r="R102" i="2"/>
  <c r="Q102" i="2"/>
  <c r="P102" i="2"/>
  <c r="O102" i="2"/>
  <c r="K102" i="2"/>
  <c r="R101" i="2"/>
  <c r="Q101" i="2"/>
  <c r="P101" i="2"/>
  <c r="O101" i="2"/>
  <c r="K101" i="2"/>
  <c r="L101" i="2" s="1"/>
  <c r="M101" i="2" s="1"/>
  <c r="N101" i="2" s="1"/>
  <c r="R100" i="2"/>
  <c r="Q100" i="2"/>
  <c r="P100" i="2"/>
  <c r="O100" i="2"/>
  <c r="K100" i="2"/>
  <c r="R99" i="2"/>
  <c r="Q99" i="2"/>
  <c r="P99" i="2"/>
  <c r="O99" i="2"/>
  <c r="K99" i="2"/>
  <c r="L99" i="2" s="1"/>
  <c r="M99" i="2" s="1"/>
  <c r="N99" i="2" s="1"/>
  <c r="R98" i="2"/>
  <c r="Q98" i="2"/>
  <c r="P98" i="2"/>
  <c r="O98" i="2"/>
  <c r="K98" i="2"/>
  <c r="L98" i="2" s="1"/>
  <c r="M98" i="2" s="1"/>
  <c r="N98" i="2" s="1"/>
  <c r="R97" i="2"/>
  <c r="Q97" i="2"/>
  <c r="P97" i="2"/>
  <c r="O97" i="2"/>
  <c r="K97" i="2"/>
  <c r="R96" i="2"/>
  <c r="Q96" i="2"/>
  <c r="P96" i="2"/>
  <c r="O96" i="2"/>
  <c r="K96" i="2"/>
  <c r="L96" i="2" s="1"/>
  <c r="R95" i="2"/>
  <c r="Q95" i="2"/>
  <c r="P95" i="2"/>
  <c r="O95" i="2"/>
  <c r="K95" i="2"/>
  <c r="L95" i="2" s="1"/>
  <c r="M95" i="2" s="1"/>
  <c r="N95" i="2" s="1"/>
  <c r="R94" i="2"/>
  <c r="Q94" i="2"/>
  <c r="P94" i="2"/>
  <c r="O94" i="2"/>
  <c r="K94" i="2"/>
  <c r="L94" i="2" s="1"/>
  <c r="R93" i="2"/>
  <c r="Q93" i="2"/>
  <c r="P93" i="2"/>
  <c r="O93" i="2"/>
  <c r="K93" i="2"/>
  <c r="R92" i="2"/>
  <c r="Q92" i="2"/>
  <c r="P92" i="2"/>
  <c r="O92" i="2"/>
  <c r="K92" i="2"/>
  <c r="L92" i="2" s="1"/>
  <c r="R91" i="2"/>
  <c r="Q91" i="2"/>
  <c r="P91" i="2"/>
  <c r="O91" i="2"/>
  <c r="K91" i="2"/>
  <c r="L91" i="2" s="1"/>
  <c r="R90" i="2"/>
  <c r="Q90" i="2"/>
  <c r="P90" i="2"/>
  <c r="O90" i="2"/>
  <c r="K90" i="2"/>
  <c r="L90" i="2" s="1"/>
  <c r="R89" i="2"/>
  <c r="Q89" i="2"/>
  <c r="P89" i="2"/>
  <c r="O89" i="2"/>
  <c r="K89" i="2"/>
  <c r="R88" i="2"/>
  <c r="Q88" i="2"/>
  <c r="P88" i="2"/>
  <c r="O88" i="2"/>
  <c r="K88" i="2"/>
  <c r="L88" i="2" s="1"/>
  <c r="R87" i="2"/>
  <c r="Q87" i="2"/>
  <c r="P87" i="2"/>
  <c r="O87" i="2"/>
  <c r="K87" i="2"/>
  <c r="L87" i="2" s="1"/>
  <c r="R86" i="2"/>
  <c r="Q86" i="2"/>
  <c r="P86" i="2"/>
  <c r="O86" i="2"/>
  <c r="K86" i="2"/>
  <c r="L86" i="2" s="1"/>
  <c r="M86" i="2" s="1"/>
  <c r="N86" i="2" s="1"/>
  <c r="R85" i="2"/>
  <c r="Q85" i="2"/>
  <c r="P85" i="2"/>
  <c r="O85" i="2"/>
  <c r="K85" i="2"/>
  <c r="R84" i="2"/>
  <c r="Q84" i="2"/>
  <c r="P84" i="2"/>
  <c r="O84" i="2"/>
  <c r="K84" i="2"/>
  <c r="R83" i="2"/>
  <c r="Q83" i="2"/>
  <c r="P83" i="2"/>
  <c r="O83" i="2"/>
  <c r="K83" i="2"/>
  <c r="L83" i="2" s="1"/>
  <c r="R82" i="2"/>
  <c r="Q82" i="2"/>
  <c r="P82" i="2"/>
  <c r="O82" i="2"/>
  <c r="K82" i="2"/>
  <c r="R81" i="2"/>
  <c r="Q81" i="2"/>
  <c r="P81" i="2"/>
  <c r="O81" i="2"/>
  <c r="K81" i="2"/>
  <c r="L81" i="2" s="1"/>
  <c r="M81" i="2" s="1"/>
  <c r="N81" i="2" s="1"/>
  <c r="R80" i="2"/>
  <c r="Q80" i="2"/>
  <c r="P80" i="2"/>
  <c r="O80" i="2"/>
  <c r="K80" i="2"/>
  <c r="L80" i="2" s="1"/>
  <c r="M80" i="2" s="1"/>
  <c r="N80" i="2" s="1"/>
  <c r="R79" i="2"/>
  <c r="Q79" i="2"/>
  <c r="P79" i="2"/>
  <c r="O79" i="2"/>
  <c r="K79" i="2"/>
  <c r="R78" i="2"/>
  <c r="Q78" i="2"/>
  <c r="P78" i="2"/>
  <c r="O78" i="2"/>
  <c r="K78" i="2"/>
  <c r="L78" i="2" s="1"/>
  <c r="M78" i="2" s="1"/>
  <c r="N78" i="2" s="1"/>
  <c r="R77" i="2"/>
  <c r="Q77" i="2"/>
  <c r="P77" i="2"/>
  <c r="O77" i="2"/>
  <c r="K77" i="2"/>
  <c r="L77" i="2" s="1"/>
  <c r="M77" i="2" s="1"/>
  <c r="N77" i="2" s="1"/>
  <c r="R76" i="2"/>
  <c r="Q76" i="2"/>
  <c r="P76" i="2"/>
  <c r="O76" i="2"/>
  <c r="K76" i="2"/>
  <c r="L76" i="2" s="1"/>
  <c r="R75" i="2"/>
  <c r="Q75" i="2"/>
  <c r="P75" i="2"/>
  <c r="O75" i="2"/>
  <c r="K75" i="2"/>
  <c r="L75" i="2" s="1"/>
  <c r="R74" i="2"/>
  <c r="Q74" i="2"/>
  <c r="P74" i="2"/>
  <c r="O74" i="2"/>
  <c r="K74" i="2"/>
  <c r="L74" i="2" s="1"/>
  <c r="R73" i="2"/>
  <c r="Q73" i="2"/>
  <c r="P73" i="2"/>
  <c r="O73" i="2"/>
  <c r="K73" i="2"/>
  <c r="L73" i="2" s="1"/>
  <c r="R72" i="2"/>
  <c r="Q72" i="2"/>
  <c r="P72" i="2"/>
  <c r="O72" i="2"/>
  <c r="K72" i="2"/>
  <c r="L72" i="2" s="1"/>
  <c r="R71" i="2"/>
  <c r="Q71" i="2"/>
  <c r="P71" i="2"/>
  <c r="O71" i="2"/>
  <c r="K71" i="2"/>
  <c r="L71" i="2" s="1"/>
  <c r="R70" i="2"/>
  <c r="Q70" i="2"/>
  <c r="P70" i="2"/>
  <c r="O70" i="2"/>
  <c r="K70" i="2"/>
  <c r="L70" i="2" s="1"/>
  <c r="R69" i="2"/>
  <c r="Q69" i="2"/>
  <c r="P69" i="2"/>
  <c r="O69" i="2"/>
  <c r="K69" i="2"/>
  <c r="R68" i="2"/>
  <c r="Q68" i="2"/>
  <c r="P68" i="2"/>
  <c r="O68" i="2"/>
  <c r="K68" i="2"/>
  <c r="L68" i="2" s="1"/>
  <c r="M68" i="2" s="1"/>
  <c r="N68" i="2" s="1"/>
  <c r="R67" i="2"/>
  <c r="Q67" i="2"/>
  <c r="P67" i="2"/>
  <c r="O67" i="2"/>
  <c r="K67" i="2"/>
  <c r="L67" i="2" s="1"/>
  <c r="R66" i="2"/>
  <c r="Q66" i="2"/>
  <c r="P66" i="2"/>
  <c r="O66" i="2"/>
  <c r="K66" i="2"/>
  <c r="R65" i="2"/>
  <c r="Q65" i="2"/>
  <c r="P65" i="2"/>
  <c r="O65" i="2"/>
  <c r="K65" i="2"/>
  <c r="R64" i="2"/>
  <c r="Q64" i="2"/>
  <c r="P64" i="2"/>
  <c r="O64" i="2"/>
  <c r="K64" i="2"/>
  <c r="L64" i="2" s="1"/>
  <c r="R63" i="2"/>
  <c r="Q63" i="2"/>
  <c r="P63" i="2"/>
  <c r="O63" i="2"/>
  <c r="K63" i="2"/>
  <c r="R62" i="2"/>
  <c r="Q62" i="2"/>
  <c r="P62" i="2"/>
  <c r="O62" i="2"/>
  <c r="K62" i="2"/>
  <c r="R61" i="2"/>
  <c r="Q61" i="2"/>
  <c r="P61" i="2"/>
  <c r="O61" i="2"/>
  <c r="K61" i="2"/>
  <c r="L61" i="2" s="1"/>
  <c r="R60" i="2"/>
  <c r="Q60" i="2"/>
  <c r="P60" i="2"/>
  <c r="O60" i="2"/>
  <c r="K60" i="2"/>
  <c r="L60" i="2" s="1"/>
  <c r="R59" i="2"/>
  <c r="Q59" i="2"/>
  <c r="P59" i="2"/>
  <c r="O59" i="2"/>
  <c r="K59" i="2"/>
  <c r="L59" i="2" s="1"/>
  <c r="R58" i="2"/>
  <c r="Q58" i="2"/>
  <c r="P58" i="2"/>
  <c r="O58" i="2"/>
  <c r="K58" i="2"/>
  <c r="R57" i="2"/>
  <c r="Q57" i="2"/>
  <c r="P57" i="2"/>
  <c r="O57" i="2"/>
  <c r="K57" i="2"/>
  <c r="L57" i="2" s="1"/>
  <c r="M57" i="2" s="1"/>
  <c r="N57" i="2" s="1"/>
  <c r="R56" i="2"/>
  <c r="Q56" i="2"/>
  <c r="P56" i="2"/>
  <c r="O56" i="2"/>
  <c r="K56" i="2"/>
  <c r="R55" i="2"/>
  <c r="Q55" i="2"/>
  <c r="P55" i="2"/>
  <c r="O55" i="2"/>
  <c r="K55" i="2"/>
  <c r="L55" i="2" s="1"/>
  <c r="R54" i="2"/>
  <c r="Q54" i="2"/>
  <c r="P54" i="2"/>
  <c r="O54" i="2"/>
  <c r="K54" i="2"/>
  <c r="R53" i="2"/>
  <c r="Q53" i="2"/>
  <c r="P53" i="2"/>
  <c r="O53" i="2"/>
  <c r="K53" i="2"/>
  <c r="L53" i="2" s="1"/>
  <c r="M53" i="2" s="1"/>
  <c r="N53" i="2" s="1"/>
  <c r="R52" i="2"/>
  <c r="Q52" i="2"/>
  <c r="P52" i="2"/>
  <c r="O52" i="2"/>
  <c r="K52" i="2"/>
  <c r="L52" i="2" s="1"/>
  <c r="R51" i="2"/>
  <c r="Q51" i="2"/>
  <c r="P51" i="2"/>
  <c r="O51" i="2"/>
  <c r="K51" i="2"/>
  <c r="R50" i="2"/>
  <c r="Q50" i="2"/>
  <c r="P50" i="2"/>
  <c r="O50" i="2"/>
  <c r="K50" i="2"/>
  <c r="L50" i="2" s="1"/>
  <c r="M50" i="2" s="1"/>
  <c r="N50" i="2" s="1"/>
  <c r="R49" i="2"/>
  <c r="Q49" i="2"/>
  <c r="P49" i="2"/>
  <c r="O49" i="2"/>
  <c r="K49" i="2"/>
  <c r="R48" i="2"/>
  <c r="Q48" i="2"/>
  <c r="P48" i="2"/>
  <c r="O48" i="2"/>
  <c r="K48" i="2"/>
  <c r="L48" i="2" s="1"/>
  <c r="M48" i="2" s="1"/>
  <c r="N48" i="2" s="1"/>
  <c r="R47" i="2"/>
  <c r="Q47" i="2"/>
  <c r="P47" i="2"/>
  <c r="O47" i="2"/>
  <c r="K47" i="2"/>
  <c r="L47" i="2" s="1"/>
  <c r="R46" i="2"/>
  <c r="Q46" i="2"/>
  <c r="P46" i="2"/>
  <c r="O46" i="2"/>
  <c r="K46" i="2"/>
  <c r="L46" i="2" s="1"/>
  <c r="R45" i="2"/>
  <c r="Q45" i="2"/>
  <c r="P45" i="2"/>
  <c r="O45" i="2"/>
  <c r="K45" i="2"/>
  <c r="R44" i="2"/>
  <c r="Q44" i="2"/>
  <c r="P44" i="2"/>
  <c r="O44" i="2"/>
  <c r="K44" i="2"/>
  <c r="L44" i="2" s="1"/>
  <c r="M44" i="2" s="1"/>
  <c r="N44" i="2" s="1"/>
  <c r="R43" i="2"/>
  <c r="Q43" i="2"/>
  <c r="P43" i="2"/>
  <c r="O43" i="2"/>
  <c r="K43" i="2"/>
  <c r="L43" i="2" s="1"/>
  <c r="R42" i="2"/>
  <c r="Q42" i="2"/>
  <c r="P42" i="2"/>
  <c r="O42" i="2"/>
  <c r="K42" i="2"/>
  <c r="L42" i="2" s="1"/>
  <c r="R41" i="2"/>
  <c r="Q41" i="2"/>
  <c r="P41" i="2"/>
  <c r="O41" i="2"/>
  <c r="K41" i="2"/>
  <c r="R40" i="2"/>
  <c r="Q40" i="2"/>
  <c r="P40" i="2"/>
  <c r="O40" i="2"/>
  <c r="K40" i="2"/>
  <c r="R39" i="2"/>
  <c r="Q39" i="2"/>
  <c r="P39" i="2"/>
  <c r="O39" i="2"/>
  <c r="K39" i="2"/>
  <c r="R38" i="2"/>
  <c r="Q38" i="2"/>
  <c r="P38" i="2"/>
  <c r="O38" i="2"/>
  <c r="K38" i="2"/>
  <c r="R37" i="2"/>
  <c r="Q37" i="2"/>
  <c r="P37" i="2"/>
  <c r="O37" i="2"/>
  <c r="K37" i="2"/>
  <c r="L37" i="2" s="1"/>
  <c r="R36" i="2"/>
  <c r="Q36" i="2"/>
  <c r="P36" i="2"/>
  <c r="O36" i="2"/>
  <c r="K36" i="2"/>
  <c r="L36" i="2" s="1"/>
  <c r="M36" i="2" s="1"/>
  <c r="N36" i="2" s="1"/>
  <c r="R35" i="2"/>
  <c r="Q35" i="2"/>
  <c r="P35" i="2"/>
  <c r="O35" i="2"/>
  <c r="K35" i="2"/>
  <c r="L35" i="2" s="1"/>
  <c r="R34" i="2"/>
  <c r="Q34" i="2"/>
  <c r="P34" i="2"/>
  <c r="O34" i="2"/>
  <c r="K34" i="2"/>
  <c r="L34" i="2" s="1"/>
  <c r="R33" i="2"/>
  <c r="Q33" i="2"/>
  <c r="P33" i="2"/>
  <c r="O33" i="2"/>
  <c r="K33" i="2"/>
  <c r="R32" i="2"/>
  <c r="Q32" i="2"/>
  <c r="P32" i="2"/>
  <c r="O32" i="2"/>
  <c r="K32" i="2"/>
  <c r="L32" i="2" s="1"/>
  <c r="M32" i="2" s="1"/>
  <c r="N32" i="2" s="1"/>
  <c r="R31" i="2"/>
  <c r="Q31" i="2"/>
  <c r="P31" i="2"/>
  <c r="O31" i="2"/>
  <c r="K31" i="2"/>
  <c r="L31" i="2" s="1"/>
  <c r="R30" i="2"/>
  <c r="Q30" i="2"/>
  <c r="P30" i="2"/>
  <c r="O30" i="2"/>
  <c r="K30" i="2"/>
  <c r="R29" i="2"/>
  <c r="Q29" i="2"/>
  <c r="P29" i="2"/>
  <c r="O29" i="2"/>
  <c r="K29" i="2"/>
  <c r="R28" i="2"/>
  <c r="Q28" i="2"/>
  <c r="P28" i="2"/>
  <c r="O28" i="2"/>
  <c r="K28" i="2"/>
  <c r="L28" i="2" s="1"/>
  <c r="R27" i="2"/>
  <c r="Q27" i="2"/>
  <c r="P27" i="2"/>
  <c r="O27" i="2"/>
  <c r="K27" i="2"/>
  <c r="R26" i="2"/>
  <c r="Q26" i="2"/>
  <c r="P26" i="2"/>
  <c r="O26" i="2"/>
  <c r="K26" i="2"/>
  <c r="R25" i="2"/>
  <c r="Q25" i="2"/>
  <c r="P25" i="2"/>
  <c r="O25" i="2"/>
  <c r="K25" i="2"/>
  <c r="L25" i="2" s="1"/>
  <c r="R24" i="2"/>
  <c r="Q24" i="2"/>
  <c r="P24" i="2"/>
  <c r="O24" i="2"/>
  <c r="K24" i="2"/>
  <c r="L24" i="2" s="1"/>
  <c r="R23" i="2"/>
  <c r="Q23" i="2"/>
  <c r="P23" i="2"/>
  <c r="O23" i="2"/>
  <c r="K23" i="2"/>
  <c r="L23" i="2" s="1"/>
  <c r="M23" i="2" s="1"/>
  <c r="N23" i="2" s="1"/>
  <c r="R22" i="2"/>
  <c r="Q22" i="2"/>
  <c r="P22" i="2"/>
  <c r="O22" i="2"/>
  <c r="K22" i="2"/>
  <c r="L22" i="2" s="1"/>
  <c r="R21" i="2"/>
  <c r="Q21" i="2"/>
  <c r="P21" i="2"/>
  <c r="O21" i="2"/>
  <c r="K21" i="2"/>
  <c r="L21" i="2" s="1"/>
  <c r="M21" i="2" s="1"/>
  <c r="N21" i="2" s="1"/>
  <c r="R20" i="2"/>
  <c r="Q20" i="2"/>
  <c r="P20" i="2"/>
  <c r="O20" i="2"/>
  <c r="K20" i="2"/>
  <c r="L20" i="2" s="1"/>
  <c r="M20" i="2" s="1"/>
  <c r="N20" i="2" s="1"/>
  <c r="R19" i="2"/>
  <c r="Q19" i="2"/>
  <c r="P19" i="2"/>
  <c r="O19" i="2"/>
  <c r="K19" i="2"/>
  <c r="L19" i="2" s="1"/>
  <c r="R18" i="2"/>
  <c r="Q18" i="2"/>
  <c r="P18" i="2"/>
  <c r="O18" i="2"/>
  <c r="K18" i="2"/>
  <c r="L18" i="2" s="1"/>
  <c r="R17" i="2"/>
  <c r="Q17" i="2"/>
  <c r="P17" i="2"/>
  <c r="O17" i="2"/>
  <c r="K17" i="2"/>
  <c r="L17" i="2" s="1"/>
  <c r="M17" i="2" s="1"/>
  <c r="N17" i="2" s="1"/>
  <c r="R16" i="2"/>
  <c r="Q16" i="2"/>
  <c r="P16" i="2"/>
  <c r="O16" i="2"/>
  <c r="K16" i="2"/>
  <c r="L16" i="2" s="1"/>
  <c r="R15" i="2"/>
  <c r="Q15" i="2"/>
  <c r="P15" i="2"/>
  <c r="O15" i="2"/>
  <c r="K15" i="2"/>
  <c r="R14" i="2"/>
  <c r="Q14" i="2"/>
  <c r="P14" i="2"/>
  <c r="O14" i="2"/>
  <c r="K14" i="2"/>
  <c r="L14" i="2" s="1"/>
  <c r="R13" i="2"/>
  <c r="Q13" i="2"/>
  <c r="P13" i="2"/>
  <c r="O13" i="2"/>
  <c r="K13" i="2"/>
  <c r="R12" i="2"/>
  <c r="Q12" i="2"/>
  <c r="P12" i="2"/>
  <c r="O12" i="2"/>
  <c r="K12" i="2"/>
  <c r="L12" i="2" s="1"/>
  <c r="M12" i="2" s="1"/>
  <c r="N12" i="2" s="1"/>
  <c r="R11" i="2"/>
  <c r="Q11" i="2"/>
  <c r="P11" i="2"/>
  <c r="O11" i="2"/>
  <c r="K11" i="2"/>
  <c r="R10" i="2"/>
  <c r="Q10" i="2"/>
  <c r="P10" i="2"/>
  <c r="O10" i="2"/>
  <c r="K10" i="2"/>
  <c r="L10" i="2" s="1"/>
  <c r="R9" i="2"/>
  <c r="Q9" i="2"/>
  <c r="P9" i="2"/>
  <c r="O9" i="2"/>
  <c r="K9" i="2"/>
  <c r="R8" i="2"/>
  <c r="Q8" i="2"/>
  <c r="P8" i="2"/>
  <c r="O8" i="2"/>
  <c r="K8" i="2"/>
  <c r="R7" i="2"/>
  <c r="Q7" i="2"/>
  <c r="P7" i="2"/>
  <c r="O7" i="2"/>
  <c r="K7" i="2"/>
  <c r="L7" i="2" s="1"/>
  <c r="R6" i="2"/>
  <c r="Q6" i="2"/>
  <c r="P6" i="2"/>
  <c r="O6" i="2"/>
  <c r="K6" i="2"/>
  <c r="L6" i="2" s="1"/>
  <c r="R5" i="2"/>
  <c r="Q5" i="2"/>
  <c r="P5" i="2"/>
  <c r="O5" i="2"/>
  <c r="K5" i="2"/>
  <c r="R4" i="2"/>
  <c r="Q4" i="2"/>
  <c r="P4" i="2"/>
  <c r="O4" i="2"/>
  <c r="K4" i="2"/>
  <c r="R3" i="2"/>
  <c r="Q3" i="2"/>
  <c r="P3" i="2"/>
  <c r="O3" i="2"/>
  <c r="K3" i="2"/>
  <c r="R2" i="2"/>
  <c r="Q2" i="2"/>
  <c r="P2" i="2"/>
  <c r="O2" i="2"/>
  <c r="K2" i="2"/>
  <c r="M145" i="2" l="1"/>
  <c r="N145" i="2" s="1"/>
  <c r="M232" i="2"/>
  <c r="N232" i="2" s="1"/>
  <c r="M34" i="2"/>
  <c r="N34" i="2" s="1"/>
  <c r="M140" i="2"/>
  <c r="N140" i="2" s="1"/>
  <c r="M88" i="2"/>
  <c r="N88" i="2" s="1"/>
  <c r="M127" i="2"/>
  <c r="N127" i="2" s="1"/>
  <c r="M247" i="2"/>
  <c r="N247" i="2" s="1"/>
  <c r="M71" i="2"/>
  <c r="N71" i="2" s="1"/>
  <c r="M158" i="2"/>
  <c r="N158" i="2" s="1"/>
  <c r="M212" i="2"/>
  <c r="N212" i="2" s="1"/>
  <c r="M16" i="2"/>
  <c r="N16" i="2" s="1"/>
  <c r="M90" i="2"/>
  <c r="N90" i="2" s="1"/>
  <c r="M250" i="2"/>
  <c r="N250" i="2" s="1"/>
  <c r="M31" i="2"/>
  <c r="N31" i="2" s="1"/>
  <c r="M189" i="2"/>
  <c r="N189" i="2" s="1"/>
  <c r="M14" i="2"/>
  <c r="N14" i="2" s="1"/>
  <c r="L173" i="2"/>
  <c r="M173" i="2" s="1"/>
  <c r="N173" i="2" s="1"/>
  <c r="M171" i="2"/>
  <c r="N171" i="2" s="1"/>
  <c r="M163" i="2"/>
  <c r="N163" i="2" s="1"/>
  <c r="M55" i="2"/>
  <c r="N55" i="2" s="1"/>
  <c r="M59" i="2"/>
  <c r="N59" i="2" s="1"/>
  <c r="M46" i="2"/>
  <c r="N46" i="2" s="1"/>
  <c r="M159" i="2"/>
  <c r="N159" i="2" s="1"/>
  <c r="L9" i="2"/>
  <c r="M9" i="2" s="1"/>
  <c r="N9" i="2" s="1"/>
  <c r="M195" i="2"/>
  <c r="N195" i="2" s="1"/>
  <c r="M10" i="2"/>
  <c r="N10" i="2" s="1"/>
  <c r="M28" i="2"/>
  <c r="N28" i="2" s="1"/>
  <c r="M199" i="2"/>
  <c r="N199" i="2" s="1"/>
  <c r="M75" i="2"/>
  <c r="N75" i="2" s="1"/>
  <c r="M240" i="2"/>
  <c r="N240" i="2" s="1"/>
  <c r="M103" i="2"/>
  <c r="N103" i="2" s="1"/>
  <c r="M153" i="2"/>
  <c r="N153" i="2" s="1"/>
  <c r="L191" i="2"/>
  <c r="M191" i="2" s="1"/>
  <c r="N191" i="2" s="1"/>
  <c r="M225" i="2"/>
  <c r="N225" i="2" s="1"/>
  <c r="M236" i="2"/>
  <c r="N236" i="2" s="1"/>
  <c r="M165" i="2"/>
  <c r="N165" i="2" s="1"/>
  <c r="M176" i="2"/>
  <c r="N176" i="2" s="1"/>
  <c r="L45" i="2"/>
  <c r="M45" i="2" s="1"/>
  <c r="N45" i="2" s="1"/>
  <c r="L56" i="2"/>
  <c r="M56" i="2" s="1"/>
  <c r="N56" i="2" s="1"/>
  <c r="M92" i="2"/>
  <c r="N92" i="2" s="1"/>
  <c r="L147" i="2"/>
  <c r="M147" i="2" s="1"/>
  <c r="N147" i="2" s="1"/>
  <c r="M180" i="2"/>
  <c r="N180" i="2" s="1"/>
  <c r="M70" i="2"/>
  <c r="N70" i="2" s="1"/>
  <c r="M141" i="2"/>
  <c r="N141" i="2" s="1"/>
  <c r="L116" i="2"/>
  <c r="M116" i="2" s="1"/>
  <c r="N116" i="2" s="1"/>
  <c r="M123" i="2"/>
  <c r="N123" i="2" s="1"/>
  <c r="M35" i="2"/>
  <c r="N35" i="2" s="1"/>
  <c r="L27" i="2"/>
  <c r="M27" i="2" s="1"/>
  <c r="N27" i="2" s="1"/>
  <c r="L235" i="2"/>
  <c r="M235" i="2" s="1"/>
  <c r="N235" i="2" s="1"/>
  <c r="L49" i="2"/>
  <c r="M49" i="2" s="1"/>
  <c r="N49" i="2" s="1"/>
  <c r="M47" i="2"/>
  <c r="N47" i="2" s="1"/>
  <c r="L85" i="2"/>
  <c r="M85" i="2" s="1"/>
  <c r="N85" i="2" s="1"/>
  <c r="L124" i="2"/>
  <c r="M124" i="2" s="1"/>
  <c r="N124" i="2" s="1"/>
  <c r="L156" i="2"/>
  <c r="M156" i="2" s="1"/>
  <c r="N156" i="2" s="1"/>
  <c r="L179" i="2"/>
  <c r="M179" i="2" s="1"/>
  <c r="N179" i="2" s="1"/>
  <c r="L205" i="2"/>
  <c r="M205" i="2" s="1"/>
  <c r="N205" i="2" s="1"/>
  <c r="L13" i="2"/>
  <c r="M13" i="2"/>
  <c r="N13" i="2" s="1"/>
  <c r="M113" i="2"/>
  <c r="N113" i="2" s="1"/>
  <c r="L190" i="2"/>
  <c r="M190" i="2" s="1"/>
  <c r="N190" i="2" s="1"/>
  <c r="M109" i="2"/>
  <c r="N109" i="2" s="1"/>
  <c r="L120" i="2"/>
  <c r="M120" i="2" s="1"/>
  <c r="N120" i="2" s="1"/>
  <c r="L177" i="2"/>
  <c r="M177" i="2" s="1"/>
  <c r="N177" i="2" s="1"/>
  <c r="L244" i="2"/>
  <c r="M244" i="2"/>
  <c r="N244" i="2" s="1"/>
  <c r="L4" i="2"/>
  <c r="M4" i="2" s="1"/>
  <c r="M6" i="2"/>
  <c r="N6" i="2" s="1"/>
  <c r="L8" i="2"/>
  <c r="M8" i="2" s="1"/>
  <c r="L30" i="2"/>
  <c r="M30" i="2" s="1"/>
  <c r="N30" i="2" s="1"/>
  <c r="L40" i="2"/>
  <c r="M40" i="2" s="1"/>
  <c r="N40" i="2" s="1"/>
  <c r="L58" i="2"/>
  <c r="M58" i="2" s="1"/>
  <c r="N58" i="2" s="1"/>
  <c r="L107" i="2"/>
  <c r="M107" i="2" s="1"/>
  <c r="N107" i="2" s="1"/>
  <c r="M175" i="2"/>
  <c r="N175" i="2" s="1"/>
  <c r="M229" i="2"/>
  <c r="N229" i="2" s="1"/>
  <c r="L209" i="2"/>
  <c r="M209" i="2" s="1"/>
  <c r="N209" i="2" s="1"/>
  <c r="L39" i="2"/>
  <c r="M39" i="2" s="1"/>
  <c r="N39" i="2" s="1"/>
  <c r="M72" i="2"/>
  <c r="N72" i="2" s="1"/>
  <c r="M25" i="2"/>
  <c r="N25" i="2" s="1"/>
  <c r="L181" i="2"/>
  <c r="M181" i="2" s="1"/>
  <c r="N181" i="2" s="1"/>
  <c r="M52" i="2"/>
  <c r="N52" i="2" s="1"/>
  <c r="M67" i="2"/>
  <c r="N67" i="2" s="1"/>
  <c r="L198" i="2"/>
  <c r="M198" i="2" s="1"/>
  <c r="N198" i="2" s="1"/>
  <c r="M61" i="2"/>
  <c r="N61" i="2" s="1"/>
  <c r="L183" i="2"/>
  <c r="M183" i="2" s="1"/>
  <c r="N183" i="2" s="1"/>
  <c r="B4" i="3"/>
  <c r="L3" i="2"/>
  <c r="M3" i="2" s="1"/>
  <c r="L128" i="2"/>
  <c r="M128" i="2" s="1"/>
  <c r="N128" i="2" s="1"/>
  <c r="L137" i="2"/>
  <c r="M137" i="2" s="1"/>
  <c r="N137" i="2" s="1"/>
  <c r="M218" i="2"/>
  <c r="N218" i="2" s="1"/>
  <c r="M96" i="2"/>
  <c r="N96" i="2" s="1"/>
  <c r="M160" i="2"/>
  <c r="N160" i="2" s="1"/>
  <c r="M164" i="2"/>
  <c r="N164" i="2" s="1"/>
  <c r="M214" i="2"/>
  <c r="N214" i="2" s="1"/>
  <c r="L233" i="2"/>
  <c r="M233" i="2" s="1"/>
  <c r="N233" i="2" s="1"/>
  <c r="L186" i="2"/>
  <c r="M186" i="2" s="1"/>
  <c r="N186" i="2" s="1"/>
  <c r="L210" i="2"/>
  <c r="M210" i="2" s="1"/>
  <c r="N210" i="2" s="1"/>
  <c r="L231" i="2"/>
  <c r="M231" i="2" s="1"/>
  <c r="N231" i="2" s="1"/>
  <c r="L69" i="2"/>
  <c r="M69" i="2" s="1"/>
  <c r="N69" i="2" s="1"/>
  <c r="L169" i="2"/>
  <c r="M169" i="2" s="1"/>
  <c r="N169" i="2" s="1"/>
  <c r="M105" i="2"/>
  <c r="N105" i="2" s="1"/>
  <c r="L65" i="2"/>
  <c r="M65" i="2" s="1"/>
  <c r="N65" i="2" s="1"/>
  <c r="L134" i="2"/>
  <c r="M134" i="2" s="1"/>
  <c r="N134" i="2" s="1"/>
  <c r="M149" i="2"/>
  <c r="N149" i="2" s="1"/>
  <c r="M74" i="2"/>
  <c r="N74" i="2" s="1"/>
  <c r="L224" i="2"/>
  <c r="M224" i="2" s="1"/>
  <c r="N224" i="2" s="1"/>
  <c r="L139" i="2"/>
  <c r="M139" i="2" s="1"/>
  <c r="N139" i="2" s="1"/>
  <c r="M237" i="2"/>
  <c r="N237" i="2" s="1"/>
  <c r="L115" i="2"/>
  <c r="M115" i="2" s="1"/>
  <c r="N115" i="2" s="1"/>
  <c r="L126" i="2"/>
  <c r="M126" i="2" s="1"/>
  <c r="N126" i="2" s="1"/>
  <c r="L11" i="2"/>
  <c r="M11" i="2" s="1"/>
  <c r="M42" i="2"/>
  <c r="N42" i="2" s="1"/>
  <c r="M83" i="2"/>
  <c r="N83" i="2" s="1"/>
  <c r="L111" i="2"/>
  <c r="M111" i="2" s="1"/>
  <c r="N111" i="2" s="1"/>
  <c r="M188" i="2"/>
  <c r="N188" i="2" s="1"/>
  <c r="L203" i="2"/>
  <c r="M203" i="2" s="1"/>
  <c r="N203" i="2" s="1"/>
  <c r="L118" i="2"/>
  <c r="M118" i="2" s="1"/>
  <c r="N118" i="2" s="1"/>
  <c r="M18" i="2"/>
  <c r="L63" i="2"/>
  <c r="M63" i="2" s="1"/>
  <c r="N63" i="2" s="1"/>
  <c r="M132" i="2"/>
  <c r="N132" i="2" s="1"/>
  <c r="L54" i="2"/>
  <c r="M54" i="2" s="1"/>
  <c r="N54" i="2" s="1"/>
  <c r="L79" i="2"/>
  <c r="M79" i="2" s="1"/>
  <c r="N79" i="2" s="1"/>
  <c r="L143" i="2"/>
  <c r="M143" i="2" s="1"/>
  <c r="N143" i="2" s="1"/>
  <c r="L154" i="2"/>
  <c r="M154" i="2" s="1"/>
  <c r="N154" i="2" s="1"/>
  <c r="L246" i="2"/>
  <c r="M246" i="2" s="1"/>
  <c r="N246" i="2" s="1"/>
  <c r="L5" i="2"/>
  <c r="M5" i="2" s="1"/>
  <c r="L15" i="2"/>
  <c r="M15" i="2" s="1"/>
  <c r="L41" i="2"/>
  <c r="M41" i="2" s="1"/>
  <c r="N41" i="2" s="1"/>
  <c r="L51" i="2"/>
  <c r="M51" i="2" s="1"/>
  <c r="N51" i="2" s="1"/>
  <c r="M87" i="2"/>
  <c r="N87" i="2" s="1"/>
  <c r="M91" i="2"/>
  <c r="N91" i="2" s="1"/>
  <c r="L93" i="2"/>
  <c r="M93" i="2" s="1"/>
  <c r="N93" i="2" s="1"/>
  <c r="L102" i="2"/>
  <c r="M102" i="2" s="1"/>
  <c r="N102" i="2" s="1"/>
  <c r="L108" i="2"/>
  <c r="M108" i="2" s="1"/>
  <c r="N108" i="2" s="1"/>
  <c r="L119" i="2"/>
  <c r="M119" i="2" s="1"/>
  <c r="N119" i="2" s="1"/>
  <c r="L151" i="2"/>
  <c r="M151" i="2" s="1"/>
  <c r="N151" i="2" s="1"/>
  <c r="L168" i="2"/>
  <c r="M168" i="2" s="1"/>
  <c r="N168" i="2" s="1"/>
  <c r="L185" i="2"/>
  <c r="M185" i="2" s="1"/>
  <c r="N185" i="2" s="1"/>
  <c r="M196" i="2"/>
  <c r="N196" i="2" s="1"/>
  <c r="M200" i="2"/>
  <c r="N200" i="2" s="1"/>
  <c r="M211" i="2"/>
  <c r="N211" i="2" s="1"/>
  <c r="L215" i="2"/>
  <c r="M215" i="2" s="1"/>
  <c r="N215" i="2" s="1"/>
  <c r="L226" i="2"/>
  <c r="M226" i="2" s="1"/>
  <c r="N226" i="2" s="1"/>
  <c r="M22" i="2"/>
  <c r="N22" i="2" s="1"/>
  <c r="L29" i="2"/>
  <c r="M29" i="2" s="1"/>
  <c r="N29" i="2" s="1"/>
  <c r="M60" i="2"/>
  <c r="N60" i="2" s="1"/>
  <c r="M106" i="2"/>
  <c r="N106" i="2" s="1"/>
  <c r="M110" i="2"/>
  <c r="N110" i="2" s="1"/>
  <c r="M121" i="2"/>
  <c r="N121" i="2" s="1"/>
  <c r="L125" i="2"/>
  <c r="M125" i="2" s="1"/>
  <c r="N125" i="2" s="1"/>
  <c r="L136" i="2"/>
  <c r="M136" i="2" s="1"/>
  <c r="N136" i="2" s="1"/>
  <c r="M213" i="2"/>
  <c r="N213" i="2" s="1"/>
  <c r="M217" i="2"/>
  <c r="N217" i="2" s="1"/>
  <c r="L228" i="2"/>
  <c r="M228" i="2" s="1"/>
  <c r="N228" i="2" s="1"/>
  <c r="L241" i="2"/>
  <c r="M241" i="2" s="1"/>
  <c r="N241" i="2" s="1"/>
  <c r="L251" i="2"/>
  <c r="M251" i="2" s="1"/>
  <c r="N251" i="2" s="1"/>
  <c r="M7" i="2"/>
  <c r="M19" i="2"/>
  <c r="N19" i="2" s="1"/>
  <c r="M43" i="2"/>
  <c r="N43" i="2" s="1"/>
  <c r="M64" i="2"/>
  <c r="N64" i="2" s="1"/>
  <c r="L66" i="2"/>
  <c r="M66" i="2" s="1"/>
  <c r="N66" i="2" s="1"/>
  <c r="L97" i="2"/>
  <c r="M97" i="2" s="1"/>
  <c r="N97" i="2" s="1"/>
  <c r="L114" i="2"/>
  <c r="M114" i="2" s="1"/>
  <c r="N114" i="2" s="1"/>
  <c r="L131" i="2"/>
  <c r="M131" i="2" s="1"/>
  <c r="N131" i="2" s="1"/>
  <c r="M142" i="2"/>
  <c r="N142" i="2" s="1"/>
  <c r="M146" i="2"/>
  <c r="N146" i="2" s="1"/>
  <c r="M157" i="2"/>
  <c r="N157" i="2" s="1"/>
  <c r="L161" i="2"/>
  <c r="M161" i="2" s="1"/>
  <c r="N161" i="2" s="1"/>
  <c r="L172" i="2"/>
  <c r="M172" i="2" s="1"/>
  <c r="N172" i="2" s="1"/>
  <c r="L206" i="2"/>
  <c r="M206" i="2" s="1"/>
  <c r="N206" i="2" s="1"/>
  <c r="L89" i="2"/>
  <c r="M89" i="2" s="1"/>
  <c r="N89" i="2" s="1"/>
  <c r="L100" i="2"/>
  <c r="M100" i="2" s="1"/>
  <c r="N100" i="2" s="1"/>
  <c r="L192" i="2"/>
  <c r="M192" i="2" s="1"/>
  <c r="N192" i="2" s="1"/>
  <c r="L138" i="2"/>
  <c r="M138" i="2" s="1"/>
  <c r="N138" i="2" s="1"/>
  <c r="L187" i="2"/>
  <c r="M187" i="2" s="1"/>
  <c r="N187" i="2" s="1"/>
  <c r="L38" i="2"/>
  <c r="M38" i="2" s="1"/>
  <c r="M24" i="2"/>
  <c r="N24" i="2" s="1"/>
  <c r="L2" i="2"/>
  <c r="L26" i="2"/>
  <c r="M26" i="2" s="1"/>
  <c r="N26" i="2" s="1"/>
  <c r="L33" i="2"/>
  <c r="M33" i="2" s="1"/>
  <c r="N33" i="2" s="1"/>
  <c r="L82" i="2"/>
  <c r="M82" i="2" s="1"/>
  <c r="N82" i="2" s="1"/>
  <c r="L174" i="2"/>
  <c r="M174" i="2" s="1"/>
  <c r="N174" i="2" s="1"/>
  <c r="L223" i="2"/>
  <c r="M223" i="2" s="1"/>
  <c r="N223" i="2" s="1"/>
  <c r="L84" i="2"/>
  <c r="M84" i="2" s="1"/>
  <c r="N84" i="2" s="1"/>
  <c r="L133" i="2"/>
  <c r="M133" i="2" s="1"/>
  <c r="N133" i="2" s="1"/>
  <c r="M178" i="2"/>
  <c r="N178" i="2" s="1"/>
  <c r="M182" i="2"/>
  <c r="N182" i="2" s="1"/>
  <c r="M193" i="2"/>
  <c r="N193" i="2" s="1"/>
  <c r="L197" i="2"/>
  <c r="M197" i="2" s="1"/>
  <c r="N197" i="2" s="1"/>
  <c r="L208" i="2"/>
  <c r="M208" i="2" s="1"/>
  <c r="N208" i="2" s="1"/>
  <c r="L62" i="2"/>
  <c r="M62" i="2" s="1"/>
  <c r="N62" i="2" s="1"/>
  <c r="M76" i="2"/>
  <c r="N76" i="2" s="1"/>
  <c r="M37" i="2"/>
  <c r="N37" i="2" s="1"/>
  <c r="M73" i="2"/>
  <c r="N73" i="2" s="1"/>
  <c r="M94" i="2"/>
  <c r="N94" i="2" s="1"/>
  <c r="M112" i="2"/>
  <c r="N112" i="2" s="1"/>
  <c r="M130" i="2"/>
  <c r="N130" i="2" s="1"/>
  <c r="M148" i="2"/>
  <c r="N148" i="2" s="1"/>
  <c r="M166" i="2"/>
  <c r="N166" i="2" s="1"/>
  <c r="M184" i="2"/>
  <c r="N184" i="2" s="1"/>
  <c r="M202" i="2"/>
  <c r="N202" i="2" s="1"/>
  <c r="M220" i="2"/>
  <c r="N220" i="2" s="1"/>
  <c r="M238" i="2"/>
  <c r="N238" i="2" s="1"/>
  <c r="G20" i="4" l="1"/>
  <c r="G22" i="4"/>
  <c r="B7" i="4"/>
  <c r="B15" i="3"/>
  <c r="N8" i="2"/>
  <c r="G14" i="4"/>
  <c r="N11" i="2"/>
  <c r="G21" i="4"/>
  <c r="B13" i="3"/>
  <c r="N5" i="2"/>
  <c r="B5" i="4"/>
  <c r="B17" i="4"/>
  <c r="G17" i="4"/>
  <c r="N38" i="2"/>
  <c r="G15" i="4"/>
  <c r="N15" i="2"/>
  <c r="G8" i="4"/>
  <c r="B14" i="3"/>
  <c r="G25" i="4"/>
  <c r="B6" i="4"/>
  <c r="B19" i="4"/>
  <c r="G5" i="5"/>
  <c r="B21" i="3"/>
  <c r="B14" i="4"/>
  <c r="A5" i="5"/>
  <c r="G6" i="4"/>
  <c r="B9" i="3"/>
  <c r="B7" i="3"/>
  <c r="N2" i="2"/>
  <c r="B8" i="3"/>
  <c r="B8" i="4"/>
  <c r="B20" i="3"/>
  <c r="B16" i="3"/>
  <c r="B5" i="3"/>
  <c r="G19" i="4"/>
  <c r="G7" i="4"/>
  <c r="N18" i="2"/>
  <c r="G24" i="4"/>
  <c r="B18" i="4"/>
  <c r="N7" i="2"/>
  <c r="G23" i="4"/>
  <c r="G18" i="4"/>
  <c r="B15" i="4"/>
  <c r="N4" i="2"/>
  <c r="G5" i="4"/>
  <c r="N3" i="2"/>
  <c r="B16" i="4"/>
  <c r="G16" i="4"/>
</calcChain>
</file>

<file path=xl/sharedStrings.xml><?xml version="1.0" encoding="utf-8"?>
<sst xmlns="http://schemas.openxmlformats.org/spreadsheetml/2006/main" count="3648" uniqueCount="410">
  <si>
    <t>Order ID</t>
  </si>
  <si>
    <t>Order Date</t>
  </si>
  <si>
    <t>Region</t>
  </si>
  <si>
    <t>Salesperson</t>
  </si>
  <si>
    <t>Product</t>
  </si>
  <si>
    <t>Category</t>
  </si>
  <si>
    <t>Quantity</t>
  </si>
  <si>
    <t>Unit Price</t>
  </si>
  <si>
    <t>Customer</t>
  </si>
  <si>
    <t>Payment Method</t>
  </si>
  <si>
    <t>ORD0001</t>
  </si>
  <si>
    <t>West</t>
  </si>
  <si>
    <t>Aarav Sharma</t>
  </si>
  <si>
    <t>Monitor</t>
  </si>
  <si>
    <t>Electronics</t>
  </si>
  <si>
    <t>Royal Stores</t>
  </si>
  <si>
    <t>Bank Transfer</t>
  </si>
  <si>
    <t>ORD0002</t>
  </si>
  <si>
    <t>Priya Nair</t>
  </si>
  <si>
    <t>Webcam</t>
  </si>
  <si>
    <t>Prime Distributors</t>
  </si>
  <si>
    <t>UPI</t>
  </si>
  <si>
    <t>ORD0003</t>
  </si>
  <si>
    <t>Ananya Rao</t>
  </si>
  <si>
    <t>Mouse</t>
  </si>
  <si>
    <t>Accessories</t>
  </si>
  <si>
    <t>Lotus Infotech</t>
  </si>
  <si>
    <t>ORD0004</t>
  </si>
  <si>
    <t>East</t>
  </si>
  <si>
    <t>Rahul Verma</t>
  </si>
  <si>
    <t>Headphones</t>
  </si>
  <si>
    <t>Cash</t>
  </si>
  <si>
    <t>ORD0005</t>
  </si>
  <si>
    <t>Keyboard</t>
  </si>
  <si>
    <t>Vertex Consulting</t>
  </si>
  <si>
    <t>ORD0006</t>
  </si>
  <si>
    <t>Sneha Reddy</t>
  </si>
  <si>
    <t>Laptop</t>
  </si>
  <si>
    <t>City Mart</t>
  </si>
  <si>
    <t>ORD0007</t>
  </si>
  <si>
    <t>South</t>
  </si>
  <si>
    <t>Tablet</t>
  </si>
  <si>
    <t>Card</t>
  </si>
  <si>
    <t>ORD0008</t>
  </si>
  <si>
    <t>North</t>
  </si>
  <si>
    <t>Printer</t>
  </si>
  <si>
    <t>Office Equipment</t>
  </si>
  <si>
    <t xml:space="preserve">  Bright Solutions  </t>
  </si>
  <si>
    <t>ORD0009</t>
  </si>
  <si>
    <t>Quantum Labs</t>
  </si>
  <si>
    <t>ORD0010</t>
  </si>
  <si>
    <t>Future Systems</t>
  </si>
  <si>
    <t>ORD0011</t>
  </si>
  <si>
    <t>ABC Technologies</t>
  </si>
  <si>
    <t>ORD0012</t>
  </si>
  <si>
    <t>Delta Services</t>
  </si>
  <si>
    <t>ORD0013</t>
  </si>
  <si>
    <t>Vikram Singh</t>
  </si>
  <si>
    <t>Nova Business</t>
  </si>
  <si>
    <t>ORD0014</t>
  </si>
  <si>
    <t>ORD0015</t>
  </si>
  <si>
    <t>ORD0016</t>
  </si>
  <si>
    <t>ORD0017</t>
  </si>
  <si>
    <t>Office Chair</t>
  </si>
  <si>
    <t>Furniture</t>
  </si>
  <si>
    <t>Jupiter Retail</t>
  </si>
  <si>
    <t>ORD0018</t>
  </si>
  <si>
    <t>ORD0019</t>
  </si>
  <si>
    <t>south</t>
  </si>
  <si>
    <t>Metro Supplies</t>
  </si>
  <si>
    <t>ORD0020</t>
  </si>
  <si>
    <t>ORD0021</t>
  </si>
  <si>
    <t>Sunrise Ltd</t>
  </si>
  <si>
    <t>ORD0022</t>
  </si>
  <si>
    <t>ORD0023</t>
  </si>
  <si>
    <t>Horizon Ltd</t>
  </si>
  <si>
    <t>ORD0024</t>
  </si>
  <si>
    <t>Orbit Solutions</t>
  </si>
  <si>
    <t>ORD0025</t>
  </si>
  <si>
    <t>Desk</t>
  </si>
  <si>
    <t>ORD0026</t>
  </si>
  <si>
    <t>Evergreen Pvt Ltd</t>
  </si>
  <si>
    <t>ORD0027</t>
  </si>
  <si>
    <t>ORD0028</t>
  </si>
  <si>
    <t>ORD0029</t>
  </si>
  <si>
    <t>ORD0030</t>
  </si>
  <si>
    <t>ORD0031</t>
  </si>
  <si>
    <t>ORD0032</t>
  </si>
  <si>
    <t xml:space="preserve"> priya nair </t>
  </si>
  <si>
    <t>ORD0033</t>
  </si>
  <si>
    <t>ORD0034</t>
  </si>
  <si>
    <t>ORD0035</t>
  </si>
  <si>
    <t>ORD0036</t>
  </si>
  <si>
    <t>ORD0037</t>
  </si>
  <si>
    <t>Kaveri Enterprises</t>
  </si>
  <si>
    <t>ORD0038</t>
  </si>
  <si>
    <t>ORD0039</t>
  </si>
  <si>
    <t>ORD0040</t>
  </si>
  <si>
    <t>ORD0041</t>
  </si>
  <si>
    <t>ORD0042</t>
  </si>
  <si>
    <t>ORD0043</t>
  </si>
  <si>
    <t>Innovate Corp</t>
  </si>
  <si>
    <t>ORD0044</t>
  </si>
  <si>
    <t>ORD0045</t>
  </si>
  <si>
    <t>electronics</t>
  </si>
  <si>
    <t>ORD0046</t>
  </si>
  <si>
    <t>ORD0047</t>
  </si>
  <si>
    <t>ORD0048</t>
  </si>
  <si>
    <t>Global Traders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</si>
  <si>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</si>
  <si>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</si>
  <si>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</si>
  <si>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</si>
  <si>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</si>
  <si>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</si>
  <si>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</si>
  <si>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</si>
  <si>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</si>
  <si>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</si>
  <si>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</si>
  <si>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</si>
  <si>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</si>
  <si>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</si>
  <si>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</si>
  <si>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</si>
  <si>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</si>
  <si>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</si>
  <si>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</si>
  <si>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</si>
  <si>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</si>
  <si>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</si>
  <si>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</si>
  <si>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</si>
  <si>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</si>
  <si>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</si>
  <si>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</si>
  <si>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</si>
  <si>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</si>
  <si>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</si>
  <si>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</si>
  <si>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</si>
  <si>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Bright Solutions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</si>
  <si>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</si>
  <si>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</si>
  <si>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</si>
  <si>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</si>
  <si>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</si>
  <si>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</si>
  <si>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</si>
  <si>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</si>
  <si>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</si>
  <si>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</si>
  <si>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</si>
  <si>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</si>
  <si>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</si>
  <si>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</si>
  <si>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</si>
  <si>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</si>
  <si>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</si>
  <si>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</si>
  <si>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</si>
  <si>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</si>
  <si>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</si>
  <si>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</si>
  <si>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</si>
  <si>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</si>
  <si>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</si>
  <si>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</si>
  <si>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</si>
  <si>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</si>
  <si>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</si>
  <si>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</si>
  <si>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</si>
  <si>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</si>
  <si>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</si>
  <si>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</si>
  <si>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</si>
  <si>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</si>
  <si>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</si>
  <si>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</si>
  <si>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</si>
  <si>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</si>
  <si>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</si>
  <si>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 xml:space="preserve">Laptop 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</si>
  <si>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</si>
  <si>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</si>
  <si>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</si>
  <si>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</si>
  <si>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</si>
  <si>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</si>
  <si>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</si>
  <si>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</si>
  <si>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</si>
  <si>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</si>
  <si>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</si>
  <si>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</si>
  <si>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</si>
  <si>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</si>
  <si>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</si>
  <si>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</si>
  <si>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</si>
  <si>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</si>
  <si>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</si>
  <si>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</si>
  <si>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</si>
  <si>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</si>
  <si>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</si>
  <si>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</si>
  <si>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</si>
  <si>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</si>
  <si>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</si>
  <si>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</si>
  <si>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</si>
  <si>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</si>
  <si>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 xml:space="preserve"> West 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</si>
  <si>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</si>
  <si>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</si>
  <si>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</si>
  <si>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</si>
  <si>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</si>
  <si>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</si>
  <si>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</si>
  <si>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</si>
  <si>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</si>
  <si>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</si>
  <si>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</si>
  <si>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</si>
  <si>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</si>
  <si>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</si>
  <si>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</si>
  <si>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</si>
  <si>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</si>
  <si>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</si>
  <si>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</si>
  <si>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</si>
  <si>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</si>
  <si>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</si>
  <si>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</si>
  <si>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</si>
  <si>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</si>
  <si>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</si>
  <si>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</si>
  <si>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</si>
  <si>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</si>
  <si>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</si>
  <si>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</si>
  <si>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</si>
  <si>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</si>
  <si>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</si>
  <si>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</si>
  <si>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</si>
  <si>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</si>
  <si>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</si>
  <si>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</si>
  <si>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</si>
  <si>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</si>
  <si>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</si>
  <si>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</si>
  <si>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</si>
  <si>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</si>
  <si>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</si>
  <si>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</si>
  <si>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</si>
  <si>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</si>
  <si>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</si>
  <si>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 xml:space="preserve">ABC Technologies  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</si>
  <si>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</si>
  <si>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</si>
  <si>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</si>
  <si>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</si>
  <si>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</si>
  <si>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</si>
  <si>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</si>
  <si>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</si>
  <si>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</si>
  <si>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</si>
  <si>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</si>
  <si>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</si>
  <si>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</si>
  <si>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</si>
  <si>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</si>
  <si>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</si>
  <si>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</si>
  <si>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</si>
  <si>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</si>
  <si>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</si>
  <si>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</si>
  <si>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</si>
  <si>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</si>
  <si>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</si>
  <si>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</si>
  <si>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</si>
  <si>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</si>
  <si>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</si>
  <si>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</si>
  <si>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</si>
  <si>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</si>
  <si>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</si>
  <si>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</si>
  <si>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</si>
  <si>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</si>
  <si>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</si>
  <si>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</si>
  <si>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</si>
  <si>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</si>
  <si>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</si>
  <si>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</si>
  <si>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</si>
  <si>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</si>
  <si>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</si>
  <si>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</si>
  <si>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</si>
  <si>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</si>
  <si>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</si>
  <si>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</si>
  <si>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Sales</t>
  </si>
  <si>
    <t>Discount</t>
  </si>
  <si>
    <t>Net Sales</t>
  </si>
  <si>
    <t>Sales Category</t>
  </si>
  <si>
    <t>Month</t>
  </si>
  <si>
    <t>Month No</t>
  </si>
  <si>
    <t>Year</t>
  </si>
  <si>
    <t>Quarter</t>
  </si>
  <si>
    <t>Upi</t>
  </si>
  <si>
    <t>Unknown Customer</t>
  </si>
  <si>
    <t>Not Provided</t>
  </si>
  <si>
    <t>Excel Data Analysis &amp; Reporting</t>
  </si>
  <si>
    <t>Formula-based analysis of cleaned sales data</t>
  </si>
  <si>
    <t>Total Sales</t>
  </si>
  <si>
    <t>Total Net Sales</t>
  </si>
  <si>
    <t>Total Orders</t>
  </si>
  <si>
    <t>Average Net Sale</t>
  </si>
  <si>
    <t>Highest Net Sale</t>
  </si>
  <si>
    <t>Lowest Net Sale</t>
  </si>
  <si>
    <t>SUMIFS / COUNTIFS Analysis</t>
  </si>
  <si>
    <t>Text &amp; Date Function Examples</t>
  </si>
  <si>
    <t>Total Net Sales (SUMIFS)</t>
  </si>
  <si>
    <t>Order Count (COUNTIFS)</t>
  </si>
  <si>
    <t>TRIM</t>
  </si>
  <si>
    <t>Removes extra spaces</t>
  </si>
  <si>
    <t>UPPER</t>
  </si>
  <si>
    <t>Converts text to uppercase</t>
  </si>
  <si>
    <t>LEFT</t>
  </si>
  <si>
    <t>Extracts first 3 characters</t>
  </si>
  <si>
    <t>TEXT</t>
  </si>
  <si>
    <t>Returns month name</t>
  </si>
  <si>
    <t>MONTH</t>
  </si>
  <si>
    <t>Returns month number</t>
  </si>
  <si>
    <t>YEAR</t>
  </si>
  <si>
    <t>Returns year</t>
  </si>
  <si>
    <t>IF / IFS Classification</t>
  </si>
  <si>
    <t>IF formula</t>
  </si>
  <si>
    <t>IFS formula</t>
  </si>
  <si>
    <t>Pivot Analysis / Summary Tables</t>
  </si>
  <si>
    <t>Sales by Region</t>
  </si>
  <si>
    <t>Sales by Category</t>
  </si>
  <si>
    <t>Net_Sales</t>
  </si>
  <si>
    <t>Orders</t>
  </si>
  <si>
    <t>Sales by Salesperson</t>
  </si>
  <si>
    <t>Monthly Net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</si>
  <si>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</si>
  <si>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</si>
  <si>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</si>
  <si>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</si>
  <si>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</si>
  <si>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</si>
  <si>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</si>
  <si>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</si>
  <si>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</si>
  <si>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</si>
  <si>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</si>
  <si>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</si>
  <si>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PERFORMANCE DASHBOARD</t>
  </si>
  <si>
    <t>Business summary based on the cleaned 2025 sales dataset</t>
  </si>
  <si>
    <t>Average Order Value</t>
  </si>
  <si>
    <t>Units Sold</t>
  </si>
  <si>
    <t>Key Business Insights</t>
  </si>
  <si>
    <t>• North generated the highest net sales at ₹3,269,418, representing 32.5% of total net sales.</t>
  </si>
  <si>
    <t>• Electronics was the highest-revenue category with net sales of ₹7,697,548.</t>
  </si>
  <si>
    <t>• Rahul Verma generated the highest salesperson net sales at ₹2,295,900.</t>
  </si>
  <si>
    <t>• July recorded the highest monthly net sales at ₹1,595,135.</t>
  </si>
  <si>
    <t>• The dataset uses a tiered discount rule: 10% for sales of ₹50,000 or more and 5% otherwise.</t>
  </si>
  <si>
    <t>• Data cleaning standardized text fields, filled missing customer/payment information with explicit labels, and removed a duplicate Order ID before analysis.</t>
  </si>
  <si>
    <t>Section</t>
  </si>
  <si>
    <t>Completed Work</t>
  </si>
  <si>
    <t>Dataset</t>
  </si>
  <si>
    <t>Structured sales/orders dataset with 251 raw rows and 250 unique Order IDs.</t>
  </si>
  <si>
    <t>Cleaning</t>
  </si>
  <si>
    <t>Trimmed/standardized text, standardized categories, filled missing customer/payment values, and removed duplicate Order ID.</t>
  </si>
  <si>
    <t>Table</t>
  </si>
  <si>
    <t>Cleaned data converted to Excel Table named SalesData with filters.</t>
  </si>
  <si>
    <t>Formulas</t>
  </si>
  <si>
    <t>Sales = Quantity × Unit Price; Discount and Net Sales calculated with formulas.</t>
  </si>
  <si>
    <t>IF/IFS</t>
  </si>
  <si>
    <t>Sales Category uses IFS; an IF example is documented on Analysis sheet.</t>
  </si>
  <si>
    <t>SUMIFS/COUNTIFS</t>
  </si>
  <si>
    <t>Regional sales and order counts calculated on Analysis sheet.</t>
  </si>
  <si>
    <t>Text functions</t>
  </si>
  <si>
    <t>TRIM, UPPER, LEFT and TEXT examples documented.</t>
  </si>
  <si>
    <t>Date functions</t>
  </si>
  <si>
    <t>MONTH, YEAR, TEXT and quarter logic included.</t>
  </si>
  <si>
    <t>Conditional formatting</t>
  </si>
  <si>
    <t>Color scale on Net Sales and data bars on Sales.</t>
  </si>
  <si>
    <t>Pivot analysis</t>
  </si>
  <si>
    <t>Regional, category, salesperson and monthly summary tables prepared for reporting.</t>
  </si>
  <si>
    <t>PivotCharts</t>
  </si>
  <si>
    <t>Dashboard contains region, category, monthly trend and salesperson charts.</t>
  </si>
  <si>
    <t>Reporting</t>
  </si>
  <si>
    <t>Dashboard contains KPI summary and data-supported business insights.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</si>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</sst>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.00"/>
    <numFmt numFmtId="166" formatCode="\₹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i/>
      <sz val="11"/>
      <color rgb="FF666666"/>
      <name val="Calibri"/>
    </font>
    <font>
      <b/>
      <sz val="11"/>
      <name val="Calibri"/>
    </font>
    <font>
      <b/>
      <sz val="14"/>
      <color rgb="FF1F4E78"/>
      <name val="Calibri"/>
    </font>
    <font>
      <b/>
      <sz val="22"/>
      <color rgb="FF1F4E78"/>
      <name val="Calibri"/>
    </font>
    <font>
      <b/>
      <sz val="16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65" fontId="0" fillId="3" borderId="0" xfId="0" applyNumberFormat="1" applyFill="1"/>
    <xf numFmtId="1" fontId="0" fillId="3" borderId="0" xfId="0" applyNumberFormat="1" applyFill="1"/>
    <xf numFmtId="0" fontId="5" fillId="0" borderId="0" xfId="0" applyFont="1"/>
    <xf numFmtId="0" fontId="1" fillId="2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top" wrapText="1"/>
    </xf>
    <xf numFmtId="1" fontId="0" fillId="0" borderId="0" xfId="0" applyNumberFormat="1"/>
    <xf numFmtId="0" fontId="1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1" fontId="7" fillId="3" borderId="0" xfId="0" applyNumberFormat="1" applyFont="1" applyFill="1"/>
    <xf numFmtId="166" fontId="7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'Pivot Analysis'!$A$5:$A$8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Analysis'!$B$5:$B$8</c:f>
              <c:numCache>
                <c:formatCode>\₹#,##0.00</c:formatCode>
                <c:ptCount val="4"/>
                <c:pt idx="0">
                  <c:v>1506802</c:v>
                </c:pt>
                <c:pt idx="1">
                  <c:v>3269418.5</c:v>
                </c:pt>
                <c:pt idx="2">
                  <c:v>2454753</c:v>
                </c:pt>
                <c:pt idx="3">
                  <c:v>2753996.5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0-486D-B25B-3295466FA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Analysis'!$F$5:$F$9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Equipment</c:v>
                </c:pt>
              </c:strCache>
            </c:strRef>
          </c:cat>
          <c:val>
            <c:numRef>
              <c:f>'Pivot Analysis'!$G$5:$G$9</c:f>
              <c:numCache>
                <c:formatCode>\₹#,##0.00</c:formatCode>
                <c:ptCount val="5"/>
                <c:pt idx="0">
                  <c:v>405336.5</c:v>
                </c:pt>
                <c:pt idx="1">
                  <c:v>7622397.5</c:v>
                </c:pt>
                <c:pt idx="2">
                  <c:v>934425</c:v>
                </c:pt>
                <c:pt idx="3">
                  <c:v>1022811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D-47CD-89B4-B371CD47FB9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Net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'Pivot Analysis'!$F$14:$F$25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Analysis'!$G$14:$G$25</c:f>
              <c:numCache>
                <c:formatCode>\₹#,##0.00</c:formatCode>
                <c:ptCount val="12"/>
                <c:pt idx="0">
                  <c:v>256757.5</c:v>
                </c:pt>
                <c:pt idx="1">
                  <c:v>636433</c:v>
                </c:pt>
                <c:pt idx="2">
                  <c:v>489027</c:v>
                </c:pt>
                <c:pt idx="3">
                  <c:v>827187</c:v>
                </c:pt>
                <c:pt idx="4">
                  <c:v>1435881</c:v>
                </c:pt>
                <c:pt idx="5">
                  <c:v>689883.5</c:v>
                </c:pt>
                <c:pt idx="6">
                  <c:v>1595135</c:v>
                </c:pt>
                <c:pt idx="7">
                  <c:v>846861.5</c:v>
                </c:pt>
                <c:pt idx="8">
                  <c:v>450805</c:v>
                </c:pt>
                <c:pt idx="9">
                  <c:v>769029</c:v>
                </c:pt>
                <c:pt idx="10">
                  <c:v>1231958</c:v>
                </c:pt>
                <c:pt idx="11">
                  <c:v>756012.5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49-42AD-8CEB-A8797ECF5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Salesperson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'Pivot Analysis'!$A$14:$A$19</c:f>
              <c:strCache>
                <c:ptCount val="6"/>
                <c:pt idx="0">
                  <c:v>Aarav Sharma</c:v>
                </c:pt>
                <c:pt idx="1">
                  <c:v>Ananya Rao</c:v>
                </c:pt>
                <c:pt idx="2">
                  <c:v>Priya Nair</c:v>
                </c:pt>
                <c:pt idx="3">
                  <c:v>Rahul Verma</c:v>
                </c:pt>
                <c:pt idx="4">
                  <c:v>Sneha Reddy</c:v>
                </c:pt>
                <c:pt idx="5">
                  <c:v>Vikram Singh</c:v>
                </c:pt>
              </c:strCache>
            </c:strRef>
          </c:cat>
          <c:val>
            <c:numRef>
              <c:f>'Pivot Analysis'!$B$14:$B$19</c:f>
              <c:numCache>
                <c:formatCode>\₹#,##0.00</c:formatCode>
                <c:ptCount val="6"/>
                <c:pt idx="0">
                  <c:v>1464426.5</c:v>
                </c:pt>
                <c:pt idx="1">
                  <c:v>2133857</c:v>
                </c:pt>
                <c:pt idx="2">
                  <c:v>1179533</c:v>
                </c:pt>
                <c:pt idx="3">
                  <c:v>2295900.5</c:v>
                </c:pt>
                <c:pt idx="4">
                  <c:v>1270551.5</c:v>
                </c:pt>
                <c:pt idx="5">
                  <c:v>1640701.5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7-4BAC-A1F1-F58F930EB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7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5" width="14" customWidth="1"/>
    <col min="6" max="6" width="18" customWidth="1"/>
    <col min="7" max="8" width="12" customWidth="1"/>
    <col min="9" max="9" width="22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45760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 s="3">
        <v>16700</v>
      </c>
      <c r="I2" t="s">
        <v>15</v>
      </c>
      <c r="J2" t="s">
        <v>16</v>
      </c>
    </row>
    <row r="3" spans="1:10" x14ac:dyDescent="0.3">
      <c r="A3" t="s">
        <v>17</v>
      </c>
      <c r="B3" s="2">
        <v>46006</v>
      </c>
      <c r="C3" t="s">
        <v>11</v>
      </c>
      <c r="D3" t="s">
        <v>18</v>
      </c>
      <c r="E3" t="s">
        <v>19</v>
      </c>
      <c r="F3" t="s">
        <v>14</v>
      </c>
      <c r="G3">
        <v>1</v>
      </c>
      <c r="H3" s="3">
        <v>4260</v>
      </c>
      <c r="I3" t="s">
        <v>20</v>
      </c>
      <c r="J3" t="s">
        <v>21</v>
      </c>
    </row>
    <row r="4" spans="1:10" x14ac:dyDescent="0.3">
      <c r="A4" t="s">
        <v>22</v>
      </c>
      <c r="B4" s="2">
        <v>45928</v>
      </c>
      <c r="C4" t="s">
        <v>11</v>
      </c>
      <c r="D4" t="s">
        <v>23</v>
      </c>
      <c r="E4" t="s">
        <v>24</v>
      </c>
      <c r="F4" t="s">
        <v>25</v>
      </c>
      <c r="G4">
        <v>1</v>
      </c>
      <c r="H4" s="3">
        <v>760</v>
      </c>
      <c r="I4" t="s">
        <v>26</v>
      </c>
      <c r="J4" t="s">
        <v>21</v>
      </c>
    </row>
    <row r="5" spans="1:10" x14ac:dyDescent="0.3">
      <c r="A5" t="s">
        <v>27</v>
      </c>
      <c r="B5" s="2">
        <v>45764</v>
      </c>
      <c r="C5" t="s">
        <v>28</v>
      </c>
      <c r="D5" t="s">
        <v>29</v>
      </c>
      <c r="E5" t="s">
        <v>30</v>
      </c>
      <c r="F5" t="s">
        <v>25</v>
      </c>
      <c r="G5">
        <v>4</v>
      </c>
      <c r="H5" s="3">
        <v>2420</v>
      </c>
      <c r="I5" t="s">
        <v>20</v>
      </c>
      <c r="J5" t="s">
        <v>31</v>
      </c>
    </row>
    <row r="6" spans="1:10" x14ac:dyDescent="0.3">
      <c r="A6" t="s">
        <v>32</v>
      </c>
      <c r="B6" s="2">
        <v>45729</v>
      </c>
      <c r="C6" t="s">
        <v>11</v>
      </c>
      <c r="D6" t="s">
        <v>12</v>
      </c>
      <c r="E6" t="s">
        <v>33</v>
      </c>
      <c r="F6" t="s">
        <v>25</v>
      </c>
      <c r="G6">
        <v>2</v>
      </c>
      <c r="H6" s="3">
        <v>1620</v>
      </c>
      <c r="I6" t="s">
        <v>34</v>
      </c>
      <c r="J6" t="s">
        <v>16</v>
      </c>
    </row>
    <row r="7" spans="1:10" x14ac:dyDescent="0.3">
      <c r="A7" t="s">
        <v>35</v>
      </c>
      <c r="B7" s="2">
        <v>45846</v>
      </c>
      <c r="C7" t="s">
        <v>11</v>
      </c>
      <c r="D7" t="s">
        <v>36</v>
      </c>
      <c r="E7" t="s">
        <v>37</v>
      </c>
      <c r="F7" t="s">
        <v>14</v>
      </c>
      <c r="G7">
        <v>5</v>
      </c>
      <c r="H7" s="3">
        <v>58140</v>
      </c>
      <c r="I7" t="s">
        <v>38</v>
      </c>
      <c r="J7" t="s">
        <v>31</v>
      </c>
    </row>
    <row r="8" spans="1:10" x14ac:dyDescent="0.3">
      <c r="A8" t="s">
        <v>39</v>
      </c>
      <c r="B8" s="2">
        <v>45678</v>
      </c>
      <c r="C8" t="s">
        <v>40</v>
      </c>
      <c r="D8" t="s">
        <v>23</v>
      </c>
      <c r="E8" t="s">
        <v>41</v>
      </c>
      <c r="F8" t="s">
        <v>14</v>
      </c>
      <c r="G8">
        <v>1</v>
      </c>
      <c r="H8" s="3">
        <v>30650</v>
      </c>
      <c r="I8" t="s">
        <v>15</v>
      </c>
      <c r="J8" t="s">
        <v>42</v>
      </c>
    </row>
    <row r="9" spans="1:10" x14ac:dyDescent="0.3">
      <c r="A9" t="s">
        <v>43</v>
      </c>
      <c r="B9" s="2">
        <v>45760</v>
      </c>
      <c r="C9" t="s">
        <v>44</v>
      </c>
      <c r="D9" t="s">
        <v>36</v>
      </c>
      <c r="E9" t="s">
        <v>45</v>
      </c>
      <c r="F9" t="s">
        <v>46</v>
      </c>
      <c r="G9">
        <v>1</v>
      </c>
      <c r="H9" s="3">
        <v>12360</v>
      </c>
      <c r="I9" t="s">
        <v>47</v>
      </c>
      <c r="J9" t="s">
        <v>31</v>
      </c>
    </row>
    <row r="10" spans="1:10" x14ac:dyDescent="0.3">
      <c r="A10" t="s">
        <v>48</v>
      </c>
      <c r="B10" s="2">
        <v>45779</v>
      </c>
      <c r="C10" t="s">
        <v>11</v>
      </c>
      <c r="D10" t="s">
        <v>29</v>
      </c>
      <c r="E10" t="s">
        <v>37</v>
      </c>
      <c r="F10" t="s">
        <v>14</v>
      </c>
      <c r="G10">
        <v>2</v>
      </c>
      <c r="H10" s="3">
        <v>51470</v>
      </c>
      <c r="I10" t="s">
        <v>49</v>
      </c>
      <c r="J10" t="s">
        <v>31</v>
      </c>
    </row>
    <row r="11" spans="1:10" x14ac:dyDescent="0.3">
      <c r="A11" t="s">
        <v>50</v>
      </c>
      <c r="B11" s="2">
        <v>45872</v>
      </c>
      <c r="C11" t="s">
        <v>40</v>
      </c>
      <c r="D11" t="s">
        <v>23</v>
      </c>
      <c r="E11" t="s">
        <v>37</v>
      </c>
      <c r="F11" t="s">
        <v>14</v>
      </c>
      <c r="G11">
        <v>1</v>
      </c>
      <c r="H11" s="3">
        <v>56500</v>
      </c>
      <c r="I11" t="s">
        <v>51</v>
      </c>
      <c r="J11" t="s">
        <v>42</v>
      </c>
    </row>
    <row r="12" spans="1:10" x14ac:dyDescent="0.3">
      <c r="A12" t="s">
        <v>52</v>
      </c>
      <c r="B12" s="2">
        <v>45988</v>
      </c>
      <c r="C12" t="s">
        <v>28</v>
      </c>
      <c r="D12" t="s">
        <v>18</v>
      </c>
      <c r="E12" t="s">
        <v>33</v>
      </c>
      <c r="F12" t="s">
        <v>25</v>
      </c>
      <c r="G12">
        <v>3</v>
      </c>
      <c r="H12" s="3">
        <v>1620</v>
      </c>
      <c r="I12" t="s">
        <v>53</v>
      </c>
      <c r="J12" t="s">
        <v>31</v>
      </c>
    </row>
    <row r="13" spans="1:10" x14ac:dyDescent="0.3">
      <c r="A13" t="s">
        <v>54</v>
      </c>
      <c r="B13" s="2">
        <v>45745</v>
      </c>
      <c r="C13" t="s">
        <v>11</v>
      </c>
      <c r="D13" t="s">
        <v>29</v>
      </c>
      <c r="E13" t="s">
        <v>37</v>
      </c>
      <c r="F13" t="s">
        <v>14</v>
      </c>
      <c r="G13">
        <v>2</v>
      </c>
      <c r="H13" s="3">
        <v>52030</v>
      </c>
      <c r="I13" t="s">
        <v>55</v>
      </c>
      <c r="J13" t="s">
        <v>16</v>
      </c>
    </row>
    <row r="14" spans="1:10" x14ac:dyDescent="0.3">
      <c r="A14" t="s">
        <v>56</v>
      </c>
      <c r="B14" s="2">
        <v>45757</v>
      </c>
      <c r="C14" t="s">
        <v>40</v>
      </c>
      <c r="D14" t="s">
        <v>57</v>
      </c>
      <c r="E14" t="s">
        <v>37</v>
      </c>
      <c r="F14" t="s">
        <v>14</v>
      </c>
      <c r="G14">
        <v>1</v>
      </c>
      <c r="H14" s="3">
        <v>60440</v>
      </c>
      <c r="I14" t="s">
        <v>58</v>
      </c>
      <c r="J14" t="s">
        <v>21</v>
      </c>
    </row>
    <row r="15" spans="1:10" x14ac:dyDescent="0.3">
      <c r="A15" t="s">
        <v>59</v>
      </c>
      <c r="B15" s="2">
        <v>46017</v>
      </c>
      <c r="C15" t="s">
        <v>44</v>
      </c>
      <c r="D15" t="s">
        <v>57</v>
      </c>
      <c r="E15" t="s">
        <v>45</v>
      </c>
      <c r="F15" t="s">
        <v>46</v>
      </c>
      <c r="G15">
        <v>1</v>
      </c>
      <c r="H15" s="3">
        <v>12590</v>
      </c>
      <c r="I15" t="s">
        <v>49</v>
      </c>
      <c r="J15" t="s">
        <v>42</v>
      </c>
    </row>
    <row r="16" spans="1:10" x14ac:dyDescent="0.3">
      <c r="A16" t="s">
        <v>60</v>
      </c>
      <c r="B16" s="2">
        <v>45809</v>
      </c>
      <c r="C16" t="s">
        <v>11</v>
      </c>
      <c r="D16" t="s">
        <v>57</v>
      </c>
      <c r="E16" t="s">
        <v>30</v>
      </c>
      <c r="F16" t="s">
        <v>25</v>
      </c>
      <c r="G16">
        <v>1</v>
      </c>
      <c r="H16" s="3">
        <v>2740</v>
      </c>
      <c r="I16" t="s">
        <v>53</v>
      </c>
      <c r="J16" t="s">
        <v>31</v>
      </c>
    </row>
    <row r="17" spans="1:10" x14ac:dyDescent="0.3">
      <c r="A17" t="s">
        <v>61</v>
      </c>
      <c r="B17" s="2">
        <v>45788</v>
      </c>
      <c r="C17" t="s">
        <v>28</v>
      </c>
      <c r="D17" t="s">
        <v>23</v>
      </c>
      <c r="E17" t="s">
        <v>33</v>
      </c>
      <c r="F17" t="s">
        <v>25</v>
      </c>
      <c r="G17">
        <v>1</v>
      </c>
      <c r="H17" s="3">
        <v>1520</v>
      </c>
      <c r="I17" t="s">
        <v>38</v>
      </c>
      <c r="J17" t="s">
        <v>31</v>
      </c>
    </row>
    <row r="18" spans="1:10" x14ac:dyDescent="0.3">
      <c r="A18" t="s">
        <v>62</v>
      </c>
      <c r="B18" s="2">
        <v>45807</v>
      </c>
      <c r="C18" t="s">
        <v>40</v>
      </c>
      <c r="D18" t="s">
        <v>18</v>
      </c>
      <c r="E18" t="s">
        <v>63</v>
      </c>
      <c r="F18" t="s">
        <v>64</v>
      </c>
      <c r="G18">
        <v>1</v>
      </c>
      <c r="H18" s="3">
        <v>7670</v>
      </c>
      <c r="I18" t="s">
        <v>65</v>
      </c>
      <c r="J18" t="s">
        <v>42</v>
      </c>
    </row>
    <row r="19" spans="1:10" x14ac:dyDescent="0.3">
      <c r="A19" t="s">
        <v>66</v>
      </c>
      <c r="B19" s="2">
        <v>45966</v>
      </c>
      <c r="C19" t="s">
        <v>44</v>
      </c>
      <c r="D19" t="s">
        <v>29</v>
      </c>
      <c r="E19" t="s">
        <v>19</v>
      </c>
      <c r="F19" t="s">
        <v>14</v>
      </c>
      <c r="G19">
        <v>1</v>
      </c>
      <c r="H19" s="3">
        <v>4810</v>
      </c>
      <c r="I19" t="s">
        <v>20</v>
      </c>
      <c r="J19" t="s">
        <v>16</v>
      </c>
    </row>
    <row r="20" spans="1:10" x14ac:dyDescent="0.3">
      <c r="A20" t="s">
        <v>67</v>
      </c>
      <c r="B20" s="2">
        <v>45915</v>
      </c>
      <c r="C20" t="s">
        <v>68</v>
      </c>
      <c r="D20" t="s">
        <v>12</v>
      </c>
      <c r="E20" t="s">
        <v>19</v>
      </c>
      <c r="F20" t="s">
        <v>14</v>
      </c>
      <c r="G20">
        <v>4</v>
      </c>
      <c r="H20" s="3">
        <v>4430</v>
      </c>
      <c r="I20" t="s">
        <v>69</v>
      </c>
      <c r="J20" t="s">
        <v>31</v>
      </c>
    </row>
    <row r="21" spans="1:10" x14ac:dyDescent="0.3">
      <c r="A21" t="s">
        <v>70</v>
      </c>
      <c r="B21" s="2">
        <v>46001</v>
      </c>
      <c r="C21" t="s">
        <v>44</v>
      </c>
      <c r="D21" t="s">
        <v>36</v>
      </c>
      <c r="E21" t="s">
        <v>19</v>
      </c>
      <c r="F21" t="s">
        <v>14</v>
      </c>
      <c r="G21">
        <v>4</v>
      </c>
      <c r="H21" s="3">
        <v>4500</v>
      </c>
      <c r="I21" t="s">
        <v>53</v>
      </c>
      <c r="J21" t="s">
        <v>31</v>
      </c>
    </row>
    <row r="22" spans="1:10" x14ac:dyDescent="0.3">
      <c r="A22" t="s">
        <v>71</v>
      </c>
      <c r="B22" s="2">
        <v>45951</v>
      </c>
      <c r="C22" t="s">
        <v>40</v>
      </c>
      <c r="D22" t="s">
        <v>18</v>
      </c>
      <c r="E22" t="s">
        <v>33</v>
      </c>
      <c r="F22" t="s">
        <v>25</v>
      </c>
      <c r="G22">
        <v>4</v>
      </c>
      <c r="H22" s="3">
        <v>1360</v>
      </c>
      <c r="I22" t="s">
        <v>72</v>
      </c>
      <c r="J22" t="s">
        <v>21</v>
      </c>
    </row>
    <row r="23" spans="1:10" x14ac:dyDescent="0.3">
      <c r="A23" t="s">
        <v>73</v>
      </c>
      <c r="B23" s="2">
        <v>45849</v>
      </c>
      <c r="C23" t="s">
        <v>40</v>
      </c>
      <c r="D23" t="s">
        <v>12</v>
      </c>
      <c r="E23" t="s">
        <v>19</v>
      </c>
      <c r="F23" t="s">
        <v>14</v>
      </c>
      <c r="G23">
        <v>3</v>
      </c>
      <c r="H23" s="3">
        <v>4580</v>
      </c>
      <c r="I23" t="s">
        <v>34</v>
      </c>
      <c r="J23" t="s">
        <v>42</v>
      </c>
    </row>
    <row r="24" spans="1:10" x14ac:dyDescent="0.3">
      <c r="A24" t="s">
        <v>74</v>
      </c>
      <c r="B24" s="2">
        <v>45934</v>
      </c>
      <c r="C24" t="s">
        <v>44</v>
      </c>
      <c r="D24" t="s">
        <v>12</v>
      </c>
      <c r="E24" t="s">
        <v>45</v>
      </c>
      <c r="F24" t="s">
        <v>46</v>
      </c>
      <c r="G24">
        <v>3</v>
      </c>
      <c r="H24" s="3">
        <v>12090</v>
      </c>
      <c r="I24" t="s">
        <v>75</v>
      </c>
      <c r="J24" t="s">
        <v>21</v>
      </c>
    </row>
    <row r="25" spans="1:10" x14ac:dyDescent="0.3">
      <c r="A25" t="s">
        <v>76</v>
      </c>
      <c r="B25" s="2">
        <v>45818</v>
      </c>
      <c r="C25" t="s">
        <v>44</v>
      </c>
      <c r="D25" t="s">
        <v>36</v>
      </c>
      <c r="E25" t="s">
        <v>30</v>
      </c>
      <c r="F25" t="s">
        <v>25</v>
      </c>
      <c r="G25">
        <v>4</v>
      </c>
      <c r="H25" s="3">
        <v>2290</v>
      </c>
      <c r="I25" t="s">
        <v>77</v>
      </c>
      <c r="J25" t="s">
        <v>16</v>
      </c>
    </row>
    <row r="26" spans="1:10" x14ac:dyDescent="0.3">
      <c r="A26" t="s">
        <v>78</v>
      </c>
      <c r="B26" s="2">
        <v>45971</v>
      </c>
      <c r="C26" t="s">
        <v>44</v>
      </c>
      <c r="D26" t="s">
        <v>18</v>
      </c>
      <c r="E26" t="s">
        <v>79</v>
      </c>
      <c r="F26" t="s">
        <v>64</v>
      </c>
      <c r="G26">
        <v>5</v>
      </c>
      <c r="H26" s="3">
        <v>9410</v>
      </c>
      <c r="I26" t="s">
        <v>65</v>
      </c>
      <c r="J26" t="s">
        <v>42</v>
      </c>
    </row>
    <row r="27" spans="1:10" x14ac:dyDescent="0.3">
      <c r="A27" t="s">
        <v>80</v>
      </c>
      <c r="B27" s="2">
        <v>45679</v>
      </c>
      <c r="C27" t="s">
        <v>28</v>
      </c>
      <c r="D27" t="s">
        <v>36</v>
      </c>
      <c r="E27" t="s">
        <v>33</v>
      </c>
      <c r="F27" t="s">
        <v>25</v>
      </c>
      <c r="G27">
        <v>1</v>
      </c>
      <c r="H27" s="3">
        <v>1470</v>
      </c>
      <c r="I27" t="s">
        <v>81</v>
      </c>
      <c r="J27" t="s">
        <v>42</v>
      </c>
    </row>
    <row r="28" spans="1:10" x14ac:dyDescent="0.3">
      <c r="A28" t="s">
        <v>82</v>
      </c>
      <c r="B28" s="2">
        <v>45910</v>
      </c>
      <c r="C28" t="s">
        <v>11</v>
      </c>
      <c r="D28" t="s">
        <v>57</v>
      </c>
      <c r="E28" t="s">
        <v>30</v>
      </c>
      <c r="F28" t="s">
        <v>25</v>
      </c>
      <c r="G28">
        <v>4</v>
      </c>
      <c r="H28" s="3">
        <v>2460</v>
      </c>
      <c r="I28" t="s">
        <v>53</v>
      </c>
      <c r="J28" t="s">
        <v>42</v>
      </c>
    </row>
    <row r="29" spans="1:10" x14ac:dyDescent="0.3">
      <c r="A29" t="s">
        <v>83</v>
      </c>
      <c r="B29" s="2">
        <v>45893</v>
      </c>
      <c r="C29" t="s">
        <v>11</v>
      </c>
      <c r="D29" t="s">
        <v>23</v>
      </c>
      <c r="E29" t="s">
        <v>19</v>
      </c>
      <c r="F29" t="s">
        <v>14</v>
      </c>
      <c r="G29">
        <v>1</v>
      </c>
      <c r="H29" s="3">
        <v>4450</v>
      </c>
      <c r="I29" t="s">
        <v>20</v>
      </c>
      <c r="J29" t="s">
        <v>21</v>
      </c>
    </row>
    <row r="30" spans="1:10" x14ac:dyDescent="0.3">
      <c r="A30" t="s">
        <v>84</v>
      </c>
      <c r="B30" s="2">
        <v>46002</v>
      </c>
      <c r="C30" t="s">
        <v>44</v>
      </c>
      <c r="D30" t="s">
        <v>57</v>
      </c>
      <c r="E30" t="s">
        <v>63</v>
      </c>
      <c r="F30" t="s">
        <v>64</v>
      </c>
      <c r="G30">
        <v>2</v>
      </c>
      <c r="H30" s="3">
        <v>7710</v>
      </c>
      <c r="I30" t="s">
        <v>38</v>
      </c>
      <c r="J30" t="s">
        <v>31</v>
      </c>
    </row>
    <row r="31" spans="1:10" x14ac:dyDescent="0.3">
      <c r="A31" t="s">
        <v>85</v>
      </c>
      <c r="B31" s="2">
        <v>45706</v>
      </c>
      <c r="C31" t="s">
        <v>44</v>
      </c>
      <c r="D31" t="s">
        <v>57</v>
      </c>
      <c r="E31" t="s">
        <v>19</v>
      </c>
      <c r="F31" t="s">
        <v>14</v>
      </c>
      <c r="G31">
        <v>1</v>
      </c>
      <c r="H31" s="3">
        <v>4730</v>
      </c>
      <c r="I31" t="s">
        <v>58</v>
      </c>
      <c r="J31" t="s">
        <v>31</v>
      </c>
    </row>
    <row r="32" spans="1:10" x14ac:dyDescent="0.3">
      <c r="A32" t="s">
        <v>86</v>
      </c>
      <c r="B32" s="2">
        <v>45716</v>
      </c>
      <c r="C32" t="s">
        <v>40</v>
      </c>
      <c r="D32" t="s">
        <v>36</v>
      </c>
      <c r="E32" t="s">
        <v>30</v>
      </c>
      <c r="F32" t="s">
        <v>25</v>
      </c>
      <c r="G32">
        <v>1</v>
      </c>
      <c r="H32" s="3">
        <v>2410</v>
      </c>
      <c r="I32" t="s">
        <v>81</v>
      </c>
      <c r="J32" t="s">
        <v>31</v>
      </c>
    </row>
    <row r="33" spans="1:10" x14ac:dyDescent="0.3">
      <c r="A33" t="s">
        <v>87</v>
      </c>
      <c r="B33" s="2">
        <v>45827</v>
      </c>
      <c r="C33" t="s">
        <v>44</v>
      </c>
      <c r="D33" t="s">
        <v>88</v>
      </c>
      <c r="E33" t="s">
        <v>19</v>
      </c>
      <c r="F33" t="s">
        <v>14</v>
      </c>
      <c r="G33">
        <v>2</v>
      </c>
      <c r="H33" s="3">
        <v>4480</v>
      </c>
      <c r="I33" t="s">
        <v>81</v>
      </c>
      <c r="J33" t="s">
        <v>16</v>
      </c>
    </row>
    <row r="34" spans="1:10" x14ac:dyDescent="0.3">
      <c r="A34" t="s">
        <v>89</v>
      </c>
      <c r="B34" s="2">
        <v>45845</v>
      </c>
      <c r="C34" t="s">
        <v>40</v>
      </c>
      <c r="D34" t="s">
        <v>36</v>
      </c>
      <c r="E34" t="s">
        <v>19</v>
      </c>
      <c r="F34" t="s">
        <v>14</v>
      </c>
      <c r="G34">
        <v>3</v>
      </c>
      <c r="H34" s="3">
        <v>4620</v>
      </c>
      <c r="I34" t="s">
        <v>65</v>
      </c>
      <c r="J34" t="s">
        <v>42</v>
      </c>
    </row>
    <row r="35" spans="1:10" x14ac:dyDescent="0.3">
      <c r="A35" t="s">
        <v>90</v>
      </c>
      <c r="B35" s="2">
        <v>45928</v>
      </c>
      <c r="C35" t="s">
        <v>44</v>
      </c>
      <c r="D35" t="s">
        <v>36</v>
      </c>
      <c r="E35" t="s">
        <v>33</v>
      </c>
      <c r="F35" t="s">
        <v>25</v>
      </c>
      <c r="G35">
        <v>1</v>
      </c>
      <c r="H35" s="3">
        <v>1510</v>
      </c>
      <c r="I35" t="s">
        <v>20</v>
      </c>
      <c r="J35" t="s">
        <v>31</v>
      </c>
    </row>
    <row r="36" spans="1:10" x14ac:dyDescent="0.3">
      <c r="A36" t="s">
        <v>91</v>
      </c>
      <c r="B36" s="2">
        <v>45847</v>
      </c>
      <c r="C36" t="s">
        <v>11</v>
      </c>
      <c r="D36" t="s">
        <v>29</v>
      </c>
      <c r="E36" t="s">
        <v>79</v>
      </c>
      <c r="F36" t="s">
        <v>64</v>
      </c>
      <c r="G36">
        <v>1</v>
      </c>
      <c r="H36" s="3">
        <v>8150</v>
      </c>
      <c r="I36" t="s">
        <v>34</v>
      </c>
      <c r="J36" t="s">
        <v>31</v>
      </c>
    </row>
    <row r="37" spans="1:10" x14ac:dyDescent="0.3">
      <c r="A37" t="s">
        <v>92</v>
      </c>
      <c r="B37" s="2">
        <v>45832</v>
      </c>
      <c r="C37" t="s">
        <v>44</v>
      </c>
      <c r="D37" t="s">
        <v>57</v>
      </c>
      <c r="E37" t="s">
        <v>13</v>
      </c>
      <c r="F37" t="s">
        <v>14</v>
      </c>
      <c r="G37">
        <v>1</v>
      </c>
      <c r="H37" s="3">
        <v>18520</v>
      </c>
      <c r="I37" t="s">
        <v>72</v>
      </c>
      <c r="J37" t="s">
        <v>16</v>
      </c>
    </row>
    <row r="38" spans="1:10" x14ac:dyDescent="0.3">
      <c r="A38" t="s">
        <v>93</v>
      </c>
      <c r="B38" s="2">
        <v>45708</v>
      </c>
      <c r="C38" t="s">
        <v>11</v>
      </c>
      <c r="D38" t="s">
        <v>18</v>
      </c>
      <c r="E38" t="s">
        <v>30</v>
      </c>
      <c r="F38" t="s">
        <v>25</v>
      </c>
      <c r="G38">
        <v>1</v>
      </c>
      <c r="H38" s="3">
        <v>2660</v>
      </c>
      <c r="I38" t="s">
        <v>94</v>
      </c>
      <c r="J38" t="s">
        <v>31</v>
      </c>
    </row>
    <row r="39" spans="1:10" x14ac:dyDescent="0.3">
      <c r="A39" t="s">
        <v>95</v>
      </c>
      <c r="B39" s="2">
        <v>46021</v>
      </c>
      <c r="C39" t="s">
        <v>28</v>
      </c>
      <c r="D39" t="s">
        <v>12</v>
      </c>
      <c r="E39" t="s">
        <v>13</v>
      </c>
      <c r="F39" t="s">
        <v>14</v>
      </c>
      <c r="G39">
        <v>1</v>
      </c>
      <c r="H39" s="3">
        <v>18430</v>
      </c>
      <c r="I39" t="s">
        <v>75</v>
      </c>
      <c r="J39" t="s">
        <v>21</v>
      </c>
    </row>
    <row r="40" spans="1:10" x14ac:dyDescent="0.3">
      <c r="A40" t="s">
        <v>96</v>
      </c>
      <c r="B40" s="2">
        <v>45712</v>
      </c>
      <c r="C40" t="s">
        <v>28</v>
      </c>
      <c r="D40" t="s">
        <v>36</v>
      </c>
      <c r="E40" t="s">
        <v>19</v>
      </c>
      <c r="F40" t="s">
        <v>14</v>
      </c>
      <c r="G40">
        <v>1</v>
      </c>
      <c r="H40" s="3">
        <v>4280</v>
      </c>
      <c r="I40" t="s">
        <v>15</v>
      </c>
      <c r="J40" t="s">
        <v>21</v>
      </c>
    </row>
    <row r="41" spans="1:10" x14ac:dyDescent="0.3">
      <c r="A41" t="s">
        <v>97</v>
      </c>
      <c r="B41" s="2">
        <v>45901</v>
      </c>
      <c r="C41" t="s">
        <v>44</v>
      </c>
      <c r="D41" t="s">
        <v>12</v>
      </c>
      <c r="E41" t="s">
        <v>63</v>
      </c>
      <c r="F41" t="s">
        <v>64</v>
      </c>
      <c r="G41">
        <v>2</v>
      </c>
      <c r="H41" s="3">
        <v>7380</v>
      </c>
      <c r="I41" t="s">
        <v>55</v>
      </c>
      <c r="J41" t="s">
        <v>42</v>
      </c>
    </row>
    <row r="42" spans="1:10" x14ac:dyDescent="0.3">
      <c r="A42" t="s">
        <v>98</v>
      </c>
      <c r="B42" s="2">
        <v>45977</v>
      </c>
      <c r="C42" t="s">
        <v>28</v>
      </c>
      <c r="D42" t="s">
        <v>12</v>
      </c>
      <c r="E42" t="s">
        <v>30</v>
      </c>
      <c r="F42" t="s">
        <v>25</v>
      </c>
      <c r="G42">
        <v>10</v>
      </c>
      <c r="H42" s="3">
        <v>2530</v>
      </c>
      <c r="I42" t="s">
        <v>38</v>
      </c>
      <c r="J42" t="s">
        <v>31</v>
      </c>
    </row>
    <row r="43" spans="1:10" x14ac:dyDescent="0.3">
      <c r="A43" t="s">
        <v>99</v>
      </c>
      <c r="B43" s="2">
        <v>45788</v>
      </c>
      <c r="C43" t="s">
        <v>11</v>
      </c>
      <c r="D43" t="s">
        <v>23</v>
      </c>
      <c r="E43" t="s">
        <v>24</v>
      </c>
      <c r="F43" t="s">
        <v>25</v>
      </c>
      <c r="G43">
        <v>1</v>
      </c>
      <c r="H43" s="3">
        <v>760</v>
      </c>
      <c r="I43" t="s">
        <v>81</v>
      </c>
      <c r="J43" t="s">
        <v>31</v>
      </c>
    </row>
    <row r="44" spans="1:10" x14ac:dyDescent="0.3">
      <c r="A44" t="s">
        <v>100</v>
      </c>
      <c r="B44" s="2">
        <v>45964</v>
      </c>
      <c r="C44" t="s">
        <v>44</v>
      </c>
      <c r="D44" t="s">
        <v>29</v>
      </c>
      <c r="E44" t="s">
        <v>37</v>
      </c>
      <c r="F44" t="s">
        <v>14</v>
      </c>
      <c r="G44">
        <v>4</v>
      </c>
      <c r="H44" s="3">
        <v>57760</v>
      </c>
      <c r="I44" t="s">
        <v>101</v>
      </c>
      <c r="J44" t="s">
        <v>42</v>
      </c>
    </row>
    <row r="45" spans="1:10" x14ac:dyDescent="0.3">
      <c r="A45" t="s">
        <v>102</v>
      </c>
      <c r="B45" s="2">
        <v>45792</v>
      </c>
      <c r="C45" t="s">
        <v>11</v>
      </c>
      <c r="D45" t="s">
        <v>12</v>
      </c>
      <c r="E45" t="s">
        <v>37</v>
      </c>
      <c r="F45" t="s">
        <v>14</v>
      </c>
      <c r="G45">
        <v>1</v>
      </c>
      <c r="H45" s="3">
        <v>55060</v>
      </c>
      <c r="I45" t="s">
        <v>69</v>
      </c>
      <c r="J45" t="s">
        <v>16</v>
      </c>
    </row>
    <row r="46" spans="1:10" x14ac:dyDescent="0.3">
      <c r="A46" t="s">
        <v>103</v>
      </c>
      <c r="B46" s="2">
        <v>45678</v>
      </c>
      <c r="C46" t="s">
        <v>44</v>
      </c>
      <c r="D46" t="s">
        <v>12</v>
      </c>
      <c r="E46" t="s">
        <v>33</v>
      </c>
      <c r="F46" t="s">
        <v>104</v>
      </c>
      <c r="G46">
        <v>1</v>
      </c>
      <c r="H46" s="3">
        <v>1370</v>
      </c>
      <c r="I46" t="s">
        <v>72</v>
      </c>
      <c r="J46" t="s">
        <v>31</v>
      </c>
    </row>
    <row r="47" spans="1:10" x14ac:dyDescent="0.3">
      <c r="A47" t="s">
        <v>105</v>
      </c>
      <c r="B47" s="2">
        <v>45986</v>
      </c>
      <c r="C47" t="s">
        <v>28</v>
      </c>
      <c r="D47" t="s">
        <v>36</v>
      </c>
      <c r="E47" t="s">
        <v>41</v>
      </c>
      <c r="F47" t="s">
        <v>14</v>
      </c>
      <c r="G47">
        <v>4</v>
      </c>
      <c r="H47" s="3">
        <v>30560</v>
      </c>
      <c r="I47" t="s">
        <v>72</v>
      </c>
      <c r="J47" t="s">
        <v>42</v>
      </c>
    </row>
    <row r="48" spans="1:10" x14ac:dyDescent="0.3">
      <c r="A48" t="s">
        <v>106</v>
      </c>
      <c r="B48" s="2">
        <v>45824</v>
      </c>
      <c r="C48" t="s">
        <v>44</v>
      </c>
      <c r="D48" t="s">
        <v>36</v>
      </c>
      <c r="E48" t="s">
        <v>30</v>
      </c>
      <c r="F48" t="s">
        <v>25</v>
      </c>
      <c r="G48">
        <v>2</v>
      </c>
      <c r="H48" s="3">
        <v>2400</v>
      </c>
      <c r="I48" t="s">
        <v>55</v>
      </c>
      <c r="J48" t="s">
        <v>21</v>
      </c>
    </row>
    <row r="49" spans="1:10" x14ac:dyDescent="0.3">
      <c r="A49" t="s">
        <v>107</v>
      </c>
      <c r="B49" s="2">
        <v>45931</v>
      </c>
      <c r="C49" t="s">
        <v>44</v>
      </c>
      <c r="D49" t="s">
        <v>18</v>
      </c>
      <c r="E49" t="s">
        <v>79</v>
      </c>
      <c r="F49" t="s">
        <v>64</v>
      </c>
      <c r="G49">
        <v>10</v>
      </c>
      <c r="H49" s="3">
        <v>8300</v>
      </c>
      <c r="I49" t="s">
        <v>108</v>
      </c>
      <c r="J49" t="s">
        <v>42</v>
      </c>
    </row>
    <row r="50" spans="1:10" x14ac:dyDescent="0.3">
      <c r="A50" t="s">
        <v>109</v>
      </c>
      <c r="B50" s="2">
        <v>45746</v>
      </c>
      <c r="C50" t="s">
        <v>44</v>
      </c>
      <c r="D50" t="s">
        <v>29</v>
      </c>
      <c r="E50" t="s">
        <v>19</v>
      </c>
      <c r="F50" t="s">
        <v>14</v>
      </c>
      <c r="G50">
        <v>2</v>
      </c>
      <c r="H50" s="3">
        <v>4710</v>
      </c>
      <c r="I50" t="s">
        <v>94</v>
      </c>
      <c r="J50" t="s">
        <v>42</v>
      </c>
    </row>
    <row r="51" spans="1:10" x14ac:dyDescent="0.3">
      <c r="A51" t="s">
        <v>110</v>
      </c>
      <c r="B51" s="2">
        <v>45973</v>
      </c>
      <c r="C51" t="s">
        <v>28</v>
      </c>
      <c r="D51" t="s">
        <v>23</v>
      </c>
      <c r="E51" t="s">
        <v>41</v>
      </c>
      <c r="F51" t="s">
        <v>14</v>
      </c>
      <c r="G51">
        <v>1</v>
      </c>
      <c r="H51" s="3">
        <v>25770</v>
      </c>
      <c r="I51" t="s">
        <v>69</v>
      </c>
      <c r="J51" t="s">
        <v>31</v>
      </c>
    </row>
    <row r="52" spans="1:10" x14ac:dyDescent="0.3">
      <c r="A52" t="s">
        <v>111</v>
      </c>
      <c r="B52" s="2">
        <v>45671</v>
      </c>
      <c r="C52" t="s">
        <v>40</v>
      </c>
      <c r="D52" t="s">
        <v>18</v>
      </c>
      <c r="E52" t="s">
        <v>19</v>
      </c>
      <c r="F52" t="s">
        <v>14</v>
      </c>
      <c r="G52">
        <v>10</v>
      </c>
      <c r="H52" s="3">
        <v>4790</v>
      </c>
      <c r="I52" t="s">
        <v>81</v>
      </c>
      <c r="J52" t="s">
        <v>21</v>
      </c>
    </row>
    <row r="53" spans="1:10" x14ac:dyDescent="0.3">
      <c r="A53" t="s">
        <v>112</v>
      </c>
      <c r="B53" s="2">
        <v>45899</v>
      </c>
      <c r="C53" t="s">
        <v>11</v>
      </c>
      <c r="D53" t="s">
        <v>57</v>
      </c>
      <c r="E53" t="s">
        <v>30</v>
      </c>
      <c r="F53" t="s">
        <v>25</v>
      </c>
      <c r="G53">
        <v>3</v>
      </c>
      <c r="H53" s="3">
        <v>2740</v>
      </c>
      <c r="I53" t="s">
        <v>53</v>
      </c>
      <c r="J53" t="s">
        <v>42</v>
      </c>
    </row>
    <row r="54" spans="1:10" x14ac:dyDescent="0.3">
      <c r="A54" t="s">
        <v>113</v>
      </c>
      <c r="B54" s="2">
        <v>45922</v>
      </c>
      <c r="C54" t="s">
        <v>44</v>
      </c>
      <c r="D54" t="s">
        <v>57</v>
      </c>
      <c r="E54" t="s">
        <v>24</v>
      </c>
      <c r="F54" t="s">
        <v>25</v>
      </c>
      <c r="G54">
        <v>1</v>
      </c>
      <c r="H54" s="3">
        <v>870</v>
      </c>
      <c r="I54" t="s">
        <v>55</v>
      </c>
      <c r="J54" t="s">
        <v>31</v>
      </c>
    </row>
    <row r="55" spans="1:10" x14ac:dyDescent="0.3">
      <c r="A55" t="s">
        <v>114</v>
      </c>
      <c r="B55" s="2">
        <v>46003</v>
      </c>
      <c r="C55" t="s">
        <v>40</v>
      </c>
      <c r="D55" t="s">
        <v>29</v>
      </c>
      <c r="E55" t="s">
        <v>45</v>
      </c>
      <c r="F55" t="s">
        <v>46</v>
      </c>
      <c r="G55">
        <v>1</v>
      </c>
      <c r="H55" s="3">
        <v>12670</v>
      </c>
      <c r="I55" t="s">
        <v>65</v>
      </c>
      <c r="J55" t="s">
        <v>42</v>
      </c>
    </row>
    <row r="56" spans="1:10" x14ac:dyDescent="0.3">
      <c r="A56" t="s">
        <v>115</v>
      </c>
      <c r="B56" s="2">
        <v>45710</v>
      </c>
      <c r="C56" t="s">
        <v>44</v>
      </c>
      <c r="D56" t="s">
        <v>57</v>
      </c>
      <c r="E56" t="s">
        <v>33</v>
      </c>
      <c r="F56" t="s">
        <v>25</v>
      </c>
      <c r="G56">
        <v>4</v>
      </c>
      <c r="H56" s="3">
        <v>1480</v>
      </c>
      <c r="I56" t="s">
        <v>15</v>
      </c>
      <c r="J56" t="s">
        <v>31</v>
      </c>
    </row>
    <row r="57" spans="1:10" x14ac:dyDescent="0.3">
      <c r="A57" t="s">
        <v>116</v>
      </c>
      <c r="B57" s="2">
        <v>45997</v>
      </c>
      <c r="C57" t="s">
        <v>44</v>
      </c>
      <c r="D57" t="s">
        <v>12</v>
      </c>
      <c r="E57" t="s">
        <v>19</v>
      </c>
      <c r="F57" t="s">
        <v>14</v>
      </c>
      <c r="G57">
        <v>2</v>
      </c>
      <c r="H57" s="3">
        <v>4160</v>
      </c>
      <c r="I57" t="s">
        <v>108</v>
      </c>
      <c r="J57" t="s">
        <v>21</v>
      </c>
    </row>
    <row r="58" spans="1:10" x14ac:dyDescent="0.3">
      <c r="A58" t="s">
        <v>117</v>
      </c>
      <c r="B58" s="2">
        <v>45749</v>
      </c>
      <c r="C58" t="s">
        <v>44</v>
      </c>
      <c r="D58" t="s">
        <v>12</v>
      </c>
      <c r="E58" t="s">
        <v>33</v>
      </c>
      <c r="F58" t="s">
        <v>25</v>
      </c>
      <c r="G58">
        <v>10</v>
      </c>
      <c r="H58" s="3">
        <v>1460</v>
      </c>
      <c r="I58" t="s">
        <v>53</v>
      </c>
      <c r="J58" t="s">
        <v>42</v>
      </c>
    </row>
    <row r="59" spans="1:10" x14ac:dyDescent="0.3">
      <c r="A59" t="s">
        <v>118</v>
      </c>
      <c r="B59" s="2">
        <v>45921</v>
      </c>
      <c r="C59" t="s">
        <v>44</v>
      </c>
      <c r="D59" t="s">
        <v>57</v>
      </c>
      <c r="E59" t="s">
        <v>30</v>
      </c>
      <c r="F59" t="s">
        <v>25</v>
      </c>
      <c r="G59">
        <v>3</v>
      </c>
      <c r="H59" s="3">
        <v>2650</v>
      </c>
      <c r="I59" t="s">
        <v>77</v>
      </c>
      <c r="J59" t="s">
        <v>21</v>
      </c>
    </row>
    <row r="60" spans="1:10" x14ac:dyDescent="0.3">
      <c r="A60" t="s">
        <v>119</v>
      </c>
      <c r="B60" s="2">
        <v>45692</v>
      </c>
      <c r="C60" t="s">
        <v>44</v>
      </c>
      <c r="D60" t="s">
        <v>36</v>
      </c>
      <c r="E60" t="s">
        <v>45</v>
      </c>
      <c r="F60" t="s">
        <v>46</v>
      </c>
      <c r="G60">
        <v>2</v>
      </c>
      <c r="H60" s="3">
        <v>13180</v>
      </c>
      <c r="I60" t="s">
        <v>38</v>
      </c>
      <c r="J60" t="s">
        <v>16</v>
      </c>
    </row>
    <row r="61" spans="1:10" x14ac:dyDescent="0.3">
      <c r="A61" t="s">
        <v>120</v>
      </c>
      <c r="B61" s="2">
        <v>45863</v>
      </c>
      <c r="C61" t="s">
        <v>44</v>
      </c>
      <c r="D61" t="s">
        <v>12</v>
      </c>
      <c r="E61" t="s">
        <v>24</v>
      </c>
      <c r="F61" t="s">
        <v>25</v>
      </c>
      <c r="G61">
        <v>10</v>
      </c>
      <c r="H61" s="3">
        <v>800</v>
      </c>
      <c r="I61" t="s">
        <v>58</v>
      </c>
      <c r="J61" t="s">
        <v>16</v>
      </c>
    </row>
    <row r="62" spans="1:10" x14ac:dyDescent="0.3">
      <c r="A62" t="s">
        <v>121</v>
      </c>
      <c r="B62" s="2">
        <v>45738</v>
      </c>
      <c r="C62" t="s">
        <v>28</v>
      </c>
      <c r="D62" t="s">
        <v>12</v>
      </c>
      <c r="E62" t="s">
        <v>37</v>
      </c>
      <c r="F62" t="s">
        <v>14</v>
      </c>
      <c r="G62">
        <v>2</v>
      </c>
      <c r="H62" s="3">
        <v>57170</v>
      </c>
      <c r="I62" t="s">
        <v>94</v>
      </c>
      <c r="J62" t="s">
        <v>31</v>
      </c>
    </row>
    <row r="63" spans="1:10" x14ac:dyDescent="0.3">
      <c r="A63" t="s">
        <v>122</v>
      </c>
      <c r="B63" s="2">
        <v>45707</v>
      </c>
      <c r="C63" t="s">
        <v>11</v>
      </c>
      <c r="D63" t="s">
        <v>36</v>
      </c>
      <c r="E63" t="s">
        <v>19</v>
      </c>
      <c r="F63" t="s">
        <v>14</v>
      </c>
      <c r="G63">
        <v>5</v>
      </c>
      <c r="H63" s="3">
        <v>4410</v>
      </c>
      <c r="I63" t="s">
        <v>75</v>
      </c>
      <c r="J63" t="s">
        <v>42</v>
      </c>
    </row>
    <row r="64" spans="1:10" x14ac:dyDescent="0.3">
      <c r="A64" t="s">
        <v>123</v>
      </c>
      <c r="B64" s="2">
        <v>46017</v>
      </c>
      <c r="C64" t="s">
        <v>40</v>
      </c>
      <c r="D64" t="s">
        <v>36</v>
      </c>
      <c r="E64" t="s">
        <v>24</v>
      </c>
      <c r="F64" t="s">
        <v>25</v>
      </c>
      <c r="G64">
        <v>5</v>
      </c>
      <c r="H64" s="3">
        <v>780</v>
      </c>
      <c r="I64" t="s">
        <v>81</v>
      </c>
      <c r="J64" t="s">
        <v>21</v>
      </c>
    </row>
    <row r="65" spans="1:10" x14ac:dyDescent="0.3">
      <c r="A65" t="s">
        <v>124</v>
      </c>
      <c r="B65" s="2">
        <v>45659</v>
      </c>
      <c r="C65" t="s">
        <v>44</v>
      </c>
      <c r="D65" t="s">
        <v>12</v>
      </c>
      <c r="E65" t="s">
        <v>24</v>
      </c>
      <c r="F65" t="s">
        <v>25</v>
      </c>
      <c r="G65">
        <v>3</v>
      </c>
      <c r="H65" s="3">
        <v>730</v>
      </c>
      <c r="I65" t="s">
        <v>34</v>
      </c>
      <c r="J65" t="s">
        <v>21</v>
      </c>
    </row>
    <row r="66" spans="1:10" x14ac:dyDescent="0.3">
      <c r="A66" t="s">
        <v>125</v>
      </c>
      <c r="B66" s="2">
        <v>45711</v>
      </c>
      <c r="C66" t="s">
        <v>11</v>
      </c>
      <c r="D66" t="s">
        <v>57</v>
      </c>
      <c r="E66" t="s">
        <v>33</v>
      </c>
      <c r="F66" t="s">
        <v>25</v>
      </c>
      <c r="G66">
        <v>3</v>
      </c>
      <c r="H66" s="3">
        <v>1630</v>
      </c>
      <c r="I66" t="s">
        <v>77</v>
      </c>
      <c r="J66" t="s">
        <v>21</v>
      </c>
    </row>
    <row r="67" spans="1:10" x14ac:dyDescent="0.3">
      <c r="A67" t="s">
        <v>126</v>
      </c>
      <c r="B67" s="2">
        <v>45763</v>
      </c>
      <c r="C67" t="s">
        <v>28</v>
      </c>
      <c r="D67" t="s">
        <v>57</v>
      </c>
      <c r="E67" t="s">
        <v>13</v>
      </c>
      <c r="F67" t="s">
        <v>14</v>
      </c>
      <c r="G67">
        <v>5</v>
      </c>
      <c r="H67" s="3">
        <v>19360</v>
      </c>
      <c r="J67" t="s">
        <v>16</v>
      </c>
    </row>
    <row r="68" spans="1:10" x14ac:dyDescent="0.3">
      <c r="A68" t="s">
        <v>127</v>
      </c>
      <c r="B68" s="2">
        <v>45917</v>
      </c>
      <c r="C68" t="s">
        <v>40</v>
      </c>
      <c r="D68" t="s">
        <v>12</v>
      </c>
      <c r="E68" t="s">
        <v>63</v>
      </c>
      <c r="F68" t="s">
        <v>64</v>
      </c>
      <c r="G68">
        <v>1</v>
      </c>
      <c r="H68" s="3">
        <v>7920</v>
      </c>
      <c r="I68" t="s">
        <v>94</v>
      </c>
      <c r="J68" t="s">
        <v>21</v>
      </c>
    </row>
    <row r="69" spans="1:10" x14ac:dyDescent="0.3">
      <c r="A69" t="s">
        <v>128</v>
      </c>
      <c r="B69" s="2">
        <v>45967</v>
      </c>
      <c r="C69" t="s">
        <v>28</v>
      </c>
      <c r="D69" t="s">
        <v>12</v>
      </c>
      <c r="E69" t="s">
        <v>19</v>
      </c>
      <c r="F69" t="s">
        <v>14</v>
      </c>
      <c r="G69">
        <v>10</v>
      </c>
      <c r="H69" s="3">
        <v>4920</v>
      </c>
      <c r="I69" t="s">
        <v>69</v>
      </c>
      <c r="J69" t="s">
        <v>21</v>
      </c>
    </row>
    <row r="70" spans="1:10" x14ac:dyDescent="0.3">
      <c r="A70" t="s">
        <v>129</v>
      </c>
      <c r="B70" s="2">
        <v>45848</v>
      </c>
      <c r="C70" t="s">
        <v>44</v>
      </c>
      <c r="D70" t="s">
        <v>57</v>
      </c>
      <c r="E70" t="s">
        <v>13</v>
      </c>
      <c r="F70" t="s">
        <v>14</v>
      </c>
      <c r="G70">
        <v>10</v>
      </c>
      <c r="H70" s="3">
        <v>17690</v>
      </c>
      <c r="I70" t="s">
        <v>20</v>
      </c>
      <c r="J70" t="s">
        <v>16</v>
      </c>
    </row>
    <row r="71" spans="1:10" x14ac:dyDescent="0.3">
      <c r="A71" t="s">
        <v>130</v>
      </c>
      <c r="B71" s="2">
        <v>45875</v>
      </c>
      <c r="C71" t="s">
        <v>44</v>
      </c>
      <c r="D71" t="s">
        <v>23</v>
      </c>
      <c r="E71" t="s">
        <v>45</v>
      </c>
      <c r="F71" t="s">
        <v>46</v>
      </c>
      <c r="G71">
        <v>1</v>
      </c>
      <c r="H71" s="3">
        <v>12080</v>
      </c>
      <c r="I71" t="s">
        <v>38</v>
      </c>
      <c r="J71" t="s">
        <v>21</v>
      </c>
    </row>
    <row r="72" spans="1:10" x14ac:dyDescent="0.3">
      <c r="A72" t="s">
        <v>131</v>
      </c>
      <c r="B72" s="2">
        <v>45701</v>
      </c>
      <c r="C72" t="s">
        <v>40</v>
      </c>
      <c r="D72" t="s">
        <v>18</v>
      </c>
      <c r="E72" t="s">
        <v>79</v>
      </c>
      <c r="F72" t="s">
        <v>64</v>
      </c>
      <c r="G72">
        <v>2</v>
      </c>
      <c r="H72" s="3">
        <v>9410</v>
      </c>
      <c r="I72" t="s">
        <v>72</v>
      </c>
      <c r="J72" t="s">
        <v>21</v>
      </c>
    </row>
    <row r="73" spans="1:10" x14ac:dyDescent="0.3">
      <c r="A73" t="s">
        <v>132</v>
      </c>
      <c r="B73" s="2">
        <v>45819</v>
      </c>
      <c r="C73" t="s">
        <v>28</v>
      </c>
      <c r="D73" t="s">
        <v>57</v>
      </c>
      <c r="E73" t="s">
        <v>30</v>
      </c>
      <c r="F73" t="s">
        <v>25</v>
      </c>
      <c r="G73">
        <v>10</v>
      </c>
      <c r="H73" s="3">
        <v>2310</v>
      </c>
      <c r="I73" t="s">
        <v>69</v>
      </c>
      <c r="J73" t="s">
        <v>31</v>
      </c>
    </row>
    <row r="74" spans="1:10" x14ac:dyDescent="0.3">
      <c r="A74" t="s">
        <v>133</v>
      </c>
      <c r="B74" s="2">
        <v>45859</v>
      </c>
      <c r="C74" t="s">
        <v>40</v>
      </c>
      <c r="D74" t="s">
        <v>36</v>
      </c>
      <c r="E74" t="s">
        <v>37</v>
      </c>
      <c r="F74" t="s">
        <v>14</v>
      </c>
      <c r="G74">
        <v>1</v>
      </c>
      <c r="H74" s="3">
        <v>57830</v>
      </c>
      <c r="I74" t="s">
        <v>75</v>
      </c>
      <c r="J74" t="s">
        <v>16</v>
      </c>
    </row>
    <row r="75" spans="1:10" x14ac:dyDescent="0.3">
      <c r="A75" t="s">
        <v>134</v>
      </c>
      <c r="B75" s="2">
        <v>45927</v>
      </c>
      <c r="C75" t="s">
        <v>28</v>
      </c>
      <c r="D75" t="s">
        <v>29</v>
      </c>
      <c r="E75" t="s">
        <v>19</v>
      </c>
      <c r="F75" t="s">
        <v>14</v>
      </c>
      <c r="G75">
        <v>1</v>
      </c>
      <c r="H75" s="3">
        <v>4480</v>
      </c>
      <c r="I75" t="s">
        <v>15</v>
      </c>
      <c r="J75" t="s">
        <v>31</v>
      </c>
    </row>
    <row r="76" spans="1:10" x14ac:dyDescent="0.3">
      <c r="A76" t="s">
        <v>135</v>
      </c>
      <c r="B76" s="2">
        <v>46008</v>
      </c>
      <c r="C76" t="s">
        <v>40</v>
      </c>
      <c r="D76" t="s">
        <v>23</v>
      </c>
      <c r="E76" t="s">
        <v>37</v>
      </c>
      <c r="F76" t="s">
        <v>14</v>
      </c>
      <c r="G76">
        <v>3</v>
      </c>
      <c r="H76" s="3">
        <v>60150</v>
      </c>
      <c r="I76" t="s">
        <v>49</v>
      </c>
      <c r="J76" t="s">
        <v>31</v>
      </c>
    </row>
    <row r="77" spans="1:10" x14ac:dyDescent="0.3">
      <c r="A77" t="s">
        <v>136</v>
      </c>
      <c r="B77" s="2">
        <v>45961</v>
      </c>
      <c r="C77" t="s">
        <v>40</v>
      </c>
      <c r="D77" t="s">
        <v>29</v>
      </c>
      <c r="E77" t="s">
        <v>79</v>
      </c>
      <c r="F77" t="s">
        <v>64</v>
      </c>
      <c r="G77">
        <v>2</v>
      </c>
      <c r="H77" s="3">
        <v>9220</v>
      </c>
      <c r="I77" t="s">
        <v>72</v>
      </c>
      <c r="J77" t="s">
        <v>16</v>
      </c>
    </row>
    <row r="78" spans="1:10" x14ac:dyDescent="0.3">
      <c r="A78" t="s">
        <v>137</v>
      </c>
      <c r="B78" s="2">
        <v>45928</v>
      </c>
      <c r="C78" t="s">
        <v>40</v>
      </c>
      <c r="D78" t="s">
        <v>18</v>
      </c>
      <c r="E78" t="s">
        <v>45</v>
      </c>
      <c r="F78" t="s">
        <v>46</v>
      </c>
      <c r="G78">
        <v>1</v>
      </c>
      <c r="H78" s="3">
        <v>11640</v>
      </c>
      <c r="I78" t="s">
        <v>77</v>
      </c>
      <c r="J78" t="s">
        <v>16</v>
      </c>
    </row>
    <row r="79" spans="1:10" x14ac:dyDescent="0.3">
      <c r="A79" t="s">
        <v>138</v>
      </c>
      <c r="B79" s="2">
        <v>45872</v>
      </c>
      <c r="C79" t="s">
        <v>40</v>
      </c>
      <c r="D79" t="s">
        <v>12</v>
      </c>
      <c r="E79" t="s">
        <v>33</v>
      </c>
      <c r="F79" t="s">
        <v>25</v>
      </c>
      <c r="G79">
        <v>1</v>
      </c>
      <c r="H79" s="3">
        <v>1450</v>
      </c>
      <c r="I79" t="s">
        <v>77</v>
      </c>
      <c r="J79" t="s">
        <v>31</v>
      </c>
    </row>
    <row r="80" spans="1:10" x14ac:dyDescent="0.3">
      <c r="A80" t="s">
        <v>139</v>
      </c>
      <c r="B80" s="2">
        <v>45909</v>
      </c>
      <c r="C80" t="s">
        <v>44</v>
      </c>
      <c r="D80" t="s">
        <v>36</v>
      </c>
      <c r="E80" t="s">
        <v>79</v>
      </c>
      <c r="F80" t="s">
        <v>64</v>
      </c>
      <c r="G80">
        <v>1</v>
      </c>
      <c r="H80" s="3">
        <v>9360</v>
      </c>
      <c r="I80" t="s">
        <v>65</v>
      </c>
      <c r="J80" t="s">
        <v>31</v>
      </c>
    </row>
    <row r="81" spans="1:10" x14ac:dyDescent="0.3">
      <c r="A81" t="s">
        <v>140</v>
      </c>
      <c r="B81" s="2">
        <v>45847</v>
      </c>
      <c r="C81" t="s">
        <v>11</v>
      </c>
      <c r="D81" t="s">
        <v>57</v>
      </c>
      <c r="E81" t="s">
        <v>37</v>
      </c>
      <c r="F81" t="s">
        <v>14</v>
      </c>
      <c r="G81">
        <v>1</v>
      </c>
      <c r="H81" s="3">
        <v>52340</v>
      </c>
      <c r="I81" t="s">
        <v>141</v>
      </c>
      <c r="J81" t="s">
        <v>42</v>
      </c>
    </row>
    <row r="82" spans="1:10" x14ac:dyDescent="0.3">
      <c r="A82" t="s">
        <v>142</v>
      </c>
      <c r="B82" s="2">
        <v>45953</v>
      </c>
      <c r="C82" t="s">
        <v>28</v>
      </c>
      <c r="D82" t="s">
        <v>29</v>
      </c>
      <c r="E82" t="s">
        <v>30</v>
      </c>
      <c r="F82" t="s">
        <v>25</v>
      </c>
      <c r="G82">
        <v>1</v>
      </c>
      <c r="H82" s="3">
        <v>2410</v>
      </c>
      <c r="I82" t="s">
        <v>20</v>
      </c>
      <c r="J82" t="s">
        <v>16</v>
      </c>
    </row>
    <row r="83" spans="1:10" x14ac:dyDescent="0.3">
      <c r="A83" t="s">
        <v>143</v>
      </c>
      <c r="B83" s="2">
        <v>45870</v>
      </c>
      <c r="C83" t="s">
        <v>11</v>
      </c>
      <c r="D83" t="s">
        <v>29</v>
      </c>
      <c r="E83" t="s">
        <v>33</v>
      </c>
      <c r="F83" t="s">
        <v>25</v>
      </c>
      <c r="G83">
        <v>10</v>
      </c>
      <c r="H83" s="3">
        <v>1490</v>
      </c>
      <c r="I83" t="s">
        <v>20</v>
      </c>
      <c r="J83" t="s">
        <v>31</v>
      </c>
    </row>
    <row r="84" spans="1:10" x14ac:dyDescent="0.3">
      <c r="A84" t="s">
        <v>144</v>
      </c>
      <c r="B84" s="2">
        <v>45865</v>
      </c>
      <c r="C84" t="s">
        <v>44</v>
      </c>
      <c r="D84" t="s">
        <v>29</v>
      </c>
      <c r="E84" t="s">
        <v>24</v>
      </c>
      <c r="F84" t="s">
        <v>25</v>
      </c>
      <c r="G84">
        <v>5</v>
      </c>
      <c r="H84" s="3">
        <v>830</v>
      </c>
      <c r="I84" t="s">
        <v>38</v>
      </c>
      <c r="J84" t="s">
        <v>16</v>
      </c>
    </row>
    <row r="85" spans="1:10" x14ac:dyDescent="0.3">
      <c r="A85" t="s">
        <v>145</v>
      </c>
      <c r="B85" s="2">
        <v>45894</v>
      </c>
      <c r="C85" t="s">
        <v>44</v>
      </c>
      <c r="D85" t="s">
        <v>18</v>
      </c>
      <c r="E85" t="s">
        <v>13</v>
      </c>
      <c r="F85" t="s">
        <v>14</v>
      </c>
      <c r="G85">
        <v>1</v>
      </c>
      <c r="H85" s="3">
        <v>16350</v>
      </c>
      <c r="I85" t="s">
        <v>65</v>
      </c>
      <c r="J85" t="s">
        <v>21</v>
      </c>
    </row>
    <row r="86" spans="1:10" x14ac:dyDescent="0.3">
      <c r="A86" t="s">
        <v>146</v>
      </c>
      <c r="B86" s="2">
        <v>45995</v>
      </c>
      <c r="C86" t="s">
        <v>44</v>
      </c>
      <c r="D86" t="s">
        <v>12</v>
      </c>
      <c r="E86" t="s">
        <v>45</v>
      </c>
      <c r="F86" t="s">
        <v>46</v>
      </c>
      <c r="G86">
        <v>2</v>
      </c>
      <c r="H86" s="3">
        <v>12120</v>
      </c>
      <c r="I86" t="s">
        <v>26</v>
      </c>
      <c r="J86" t="s">
        <v>42</v>
      </c>
    </row>
    <row r="87" spans="1:10" x14ac:dyDescent="0.3">
      <c r="A87" t="s">
        <v>147</v>
      </c>
      <c r="B87" s="2">
        <v>45710</v>
      </c>
      <c r="C87" t="s">
        <v>44</v>
      </c>
      <c r="D87" t="s">
        <v>29</v>
      </c>
      <c r="E87" t="s">
        <v>13</v>
      </c>
      <c r="F87" t="s">
        <v>14</v>
      </c>
      <c r="G87">
        <v>1</v>
      </c>
      <c r="H87" s="3">
        <v>18010</v>
      </c>
      <c r="I87" t="s">
        <v>101</v>
      </c>
      <c r="J87" t="s">
        <v>42</v>
      </c>
    </row>
    <row r="88" spans="1:10" x14ac:dyDescent="0.3">
      <c r="A88" t="s">
        <v>148</v>
      </c>
      <c r="B88" s="2">
        <v>45937</v>
      </c>
      <c r="C88" t="s">
        <v>11</v>
      </c>
      <c r="D88" t="s">
        <v>23</v>
      </c>
      <c r="E88" t="s">
        <v>41</v>
      </c>
      <c r="F88" t="s">
        <v>14</v>
      </c>
      <c r="G88">
        <v>10</v>
      </c>
      <c r="H88" s="3">
        <v>29050</v>
      </c>
      <c r="I88" t="s">
        <v>94</v>
      </c>
      <c r="J88" t="s">
        <v>16</v>
      </c>
    </row>
    <row r="89" spans="1:10" x14ac:dyDescent="0.3">
      <c r="A89" t="s">
        <v>149</v>
      </c>
      <c r="B89" s="2">
        <v>45874</v>
      </c>
      <c r="C89" t="s">
        <v>44</v>
      </c>
      <c r="D89" t="s">
        <v>29</v>
      </c>
      <c r="E89" t="s">
        <v>37</v>
      </c>
      <c r="F89" t="s">
        <v>14</v>
      </c>
      <c r="G89">
        <v>2</v>
      </c>
      <c r="H89" s="3">
        <v>58370</v>
      </c>
      <c r="I89" t="s">
        <v>34</v>
      </c>
      <c r="J89" t="s">
        <v>16</v>
      </c>
    </row>
    <row r="90" spans="1:10" x14ac:dyDescent="0.3">
      <c r="A90" t="s">
        <v>150</v>
      </c>
      <c r="B90" s="2">
        <v>45909</v>
      </c>
      <c r="C90" t="s">
        <v>11</v>
      </c>
      <c r="D90" t="s">
        <v>23</v>
      </c>
      <c r="E90" t="s">
        <v>63</v>
      </c>
      <c r="F90" t="s">
        <v>64</v>
      </c>
      <c r="G90">
        <v>3</v>
      </c>
      <c r="H90" s="3">
        <v>7100</v>
      </c>
      <c r="I90" t="s">
        <v>141</v>
      </c>
      <c r="J90" t="s">
        <v>21</v>
      </c>
    </row>
    <row r="91" spans="1:10" x14ac:dyDescent="0.3">
      <c r="A91" t="s">
        <v>151</v>
      </c>
      <c r="B91" s="2">
        <v>45845</v>
      </c>
      <c r="C91" t="s">
        <v>28</v>
      </c>
      <c r="D91" t="s">
        <v>23</v>
      </c>
      <c r="E91" t="s">
        <v>19</v>
      </c>
      <c r="F91" t="s">
        <v>14</v>
      </c>
      <c r="G91">
        <v>5</v>
      </c>
      <c r="H91" s="3">
        <v>4170</v>
      </c>
      <c r="I91" t="s">
        <v>94</v>
      </c>
      <c r="J91" t="s">
        <v>16</v>
      </c>
    </row>
    <row r="92" spans="1:10" x14ac:dyDescent="0.3">
      <c r="A92" t="s">
        <v>152</v>
      </c>
      <c r="B92" s="2">
        <v>45698</v>
      </c>
      <c r="C92" t="s">
        <v>28</v>
      </c>
      <c r="D92" t="s">
        <v>12</v>
      </c>
      <c r="E92" t="s">
        <v>13</v>
      </c>
      <c r="F92" t="s">
        <v>14</v>
      </c>
      <c r="G92">
        <v>3</v>
      </c>
      <c r="H92" s="3">
        <v>18120</v>
      </c>
      <c r="I92" t="s">
        <v>81</v>
      </c>
      <c r="J92" t="s">
        <v>31</v>
      </c>
    </row>
    <row r="93" spans="1:10" x14ac:dyDescent="0.3">
      <c r="A93" t="s">
        <v>153</v>
      </c>
      <c r="B93" s="2">
        <v>45814</v>
      </c>
      <c r="C93" t="s">
        <v>28</v>
      </c>
      <c r="D93" t="s">
        <v>23</v>
      </c>
      <c r="E93" t="s">
        <v>19</v>
      </c>
      <c r="F93" t="s">
        <v>14</v>
      </c>
      <c r="G93">
        <v>4</v>
      </c>
      <c r="H93" s="3">
        <v>4340</v>
      </c>
      <c r="I93" t="s">
        <v>26</v>
      </c>
    </row>
    <row r="94" spans="1:10" x14ac:dyDescent="0.3">
      <c r="A94" t="s">
        <v>154</v>
      </c>
      <c r="B94" s="2">
        <v>45672</v>
      </c>
      <c r="C94" t="s">
        <v>40</v>
      </c>
      <c r="D94" t="s">
        <v>29</v>
      </c>
      <c r="E94" t="s">
        <v>37</v>
      </c>
      <c r="F94" t="s">
        <v>14</v>
      </c>
      <c r="G94">
        <v>2</v>
      </c>
      <c r="H94" s="3">
        <v>54710</v>
      </c>
      <c r="I94" t="s">
        <v>101</v>
      </c>
      <c r="J94" t="s">
        <v>21</v>
      </c>
    </row>
    <row r="95" spans="1:10" x14ac:dyDescent="0.3">
      <c r="A95" t="s">
        <v>155</v>
      </c>
      <c r="B95" s="2">
        <v>45958</v>
      </c>
      <c r="C95" t="s">
        <v>40</v>
      </c>
      <c r="D95" t="s">
        <v>12</v>
      </c>
      <c r="E95" t="s">
        <v>13</v>
      </c>
      <c r="F95" t="s">
        <v>14</v>
      </c>
      <c r="G95">
        <v>2</v>
      </c>
      <c r="H95" s="3">
        <v>18130</v>
      </c>
      <c r="I95" t="s">
        <v>26</v>
      </c>
      <c r="J95" t="s">
        <v>16</v>
      </c>
    </row>
    <row r="96" spans="1:10" x14ac:dyDescent="0.3">
      <c r="A96" t="s">
        <v>156</v>
      </c>
      <c r="B96" s="2">
        <v>45722</v>
      </c>
      <c r="C96" t="s">
        <v>11</v>
      </c>
      <c r="D96" t="s">
        <v>18</v>
      </c>
      <c r="E96" t="s">
        <v>19</v>
      </c>
      <c r="F96" t="s">
        <v>14</v>
      </c>
      <c r="G96">
        <v>10</v>
      </c>
      <c r="H96" s="3">
        <v>4350</v>
      </c>
      <c r="I96" t="s">
        <v>141</v>
      </c>
      <c r="J96" t="s">
        <v>16</v>
      </c>
    </row>
    <row r="97" spans="1:10" x14ac:dyDescent="0.3">
      <c r="A97" t="s">
        <v>157</v>
      </c>
      <c r="B97" s="2">
        <v>46002</v>
      </c>
      <c r="C97" t="s">
        <v>44</v>
      </c>
      <c r="D97" t="s">
        <v>57</v>
      </c>
      <c r="E97" t="s">
        <v>63</v>
      </c>
      <c r="F97" t="s">
        <v>64</v>
      </c>
      <c r="G97">
        <v>3</v>
      </c>
      <c r="H97" s="3">
        <v>7660</v>
      </c>
      <c r="I97" t="s">
        <v>51</v>
      </c>
      <c r="J97" t="s">
        <v>42</v>
      </c>
    </row>
    <row r="98" spans="1:10" x14ac:dyDescent="0.3">
      <c r="A98" t="s">
        <v>158</v>
      </c>
      <c r="B98" s="2">
        <v>45984</v>
      </c>
      <c r="C98" t="s">
        <v>40</v>
      </c>
      <c r="D98" t="s">
        <v>23</v>
      </c>
      <c r="E98" t="s">
        <v>79</v>
      </c>
      <c r="F98" t="s">
        <v>64</v>
      </c>
      <c r="G98">
        <v>2</v>
      </c>
      <c r="H98" s="3">
        <v>9630</v>
      </c>
      <c r="I98" t="s">
        <v>101</v>
      </c>
      <c r="J98" t="s">
        <v>16</v>
      </c>
    </row>
    <row r="99" spans="1:10" x14ac:dyDescent="0.3">
      <c r="A99" t="s">
        <v>159</v>
      </c>
      <c r="B99" s="2">
        <v>45666</v>
      </c>
      <c r="C99" t="s">
        <v>44</v>
      </c>
      <c r="D99" t="s">
        <v>36</v>
      </c>
      <c r="E99" t="s">
        <v>33</v>
      </c>
      <c r="F99" t="s">
        <v>25</v>
      </c>
      <c r="G99">
        <v>1</v>
      </c>
      <c r="H99" s="3">
        <v>1360</v>
      </c>
      <c r="I99" t="s">
        <v>51</v>
      </c>
      <c r="J99" t="s">
        <v>42</v>
      </c>
    </row>
    <row r="100" spans="1:10" x14ac:dyDescent="0.3">
      <c r="A100" t="s">
        <v>160</v>
      </c>
      <c r="B100" s="2">
        <v>46001</v>
      </c>
      <c r="C100" t="s">
        <v>40</v>
      </c>
      <c r="D100" t="s">
        <v>12</v>
      </c>
      <c r="E100" t="s">
        <v>24</v>
      </c>
      <c r="F100" t="s">
        <v>25</v>
      </c>
      <c r="G100">
        <v>2</v>
      </c>
      <c r="H100" s="3">
        <v>720</v>
      </c>
      <c r="I100" t="s">
        <v>51</v>
      </c>
      <c r="J100" t="s">
        <v>16</v>
      </c>
    </row>
    <row r="101" spans="1:10" x14ac:dyDescent="0.3">
      <c r="A101" t="s">
        <v>161</v>
      </c>
      <c r="B101" s="2">
        <v>45786</v>
      </c>
      <c r="C101" t="s">
        <v>11</v>
      </c>
      <c r="D101" t="s">
        <v>18</v>
      </c>
      <c r="E101" t="s">
        <v>41</v>
      </c>
      <c r="F101" t="s">
        <v>14</v>
      </c>
      <c r="G101">
        <v>1</v>
      </c>
      <c r="H101" s="3">
        <v>28320</v>
      </c>
      <c r="I101" t="s">
        <v>72</v>
      </c>
      <c r="J101" t="s">
        <v>21</v>
      </c>
    </row>
    <row r="102" spans="1:10" x14ac:dyDescent="0.3">
      <c r="A102" t="s">
        <v>162</v>
      </c>
      <c r="B102" s="2">
        <v>45793</v>
      </c>
      <c r="C102" t="s">
        <v>11</v>
      </c>
      <c r="D102" t="s">
        <v>29</v>
      </c>
      <c r="E102" t="s">
        <v>30</v>
      </c>
      <c r="F102" t="s">
        <v>25</v>
      </c>
      <c r="G102">
        <v>3</v>
      </c>
      <c r="H102" s="3">
        <v>2730</v>
      </c>
      <c r="I102" t="s">
        <v>34</v>
      </c>
      <c r="J102" t="s">
        <v>21</v>
      </c>
    </row>
    <row r="103" spans="1:10" x14ac:dyDescent="0.3">
      <c r="A103" t="s">
        <v>163</v>
      </c>
      <c r="B103" s="2">
        <v>45720</v>
      </c>
      <c r="C103" t="s">
        <v>44</v>
      </c>
      <c r="D103" t="s">
        <v>18</v>
      </c>
      <c r="E103" t="s">
        <v>24</v>
      </c>
      <c r="F103" t="s">
        <v>25</v>
      </c>
      <c r="G103">
        <v>1</v>
      </c>
      <c r="H103" s="3">
        <v>800</v>
      </c>
      <c r="I103" t="s">
        <v>58</v>
      </c>
      <c r="J103" t="s">
        <v>31</v>
      </c>
    </row>
    <row r="104" spans="1:10" x14ac:dyDescent="0.3">
      <c r="A104" t="s">
        <v>164</v>
      </c>
      <c r="B104" s="2">
        <v>45796</v>
      </c>
      <c r="C104" t="s">
        <v>28</v>
      </c>
      <c r="D104" t="s">
        <v>36</v>
      </c>
      <c r="E104" t="s">
        <v>45</v>
      </c>
      <c r="F104" t="s">
        <v>46</v>
      </c>
      <c r="G104">
        <v>2</v>
      </c>
      <c r="H104" s="3">
        <v>12010</v>
      </c>
      <c r="I104" t="s">
        <v>69</v>
      </c>
      <c r="J104" t="s">
        <v>16</v>
      </c>
    </row>
    <row r="105" spans="1:10" x14ac:dyDescent="0.3">
      <c r="A105" t="s">
        <v>165</v>
      </c>
      <c r="B105" s="2">
        <v>45738</v>
      </c>
      <c r="C105" t="s">
        <v>11</v>
      </c>
      <c r="D105" t="s">
        <v>18</v>
      </c>
      <c r="E105" t="s">
        <v>33</v>
      </c>
      <c r="F105" t="s">
        <v>25</v>
      </c>
      <c r="G105">
        <v>1</v>
      </c>
      <c r="H105" s="3">
        <v>1460</v>
      </c>
      <c r="I105" t="s">
        <v>81</v>
      </c>
      <c r="J105" t="s">
        <v>16</v>
      </c>
    </row>
    <row r="106" spans="1:10" x14ac:dyDescent="0.3">
      <c r="A106" t="s">
        <v>166</v>
      </c>
      <c r="B106" s="2">
        <v>45820</v>
      </c>
      <c r="C106" t="s">
        <v>40</v>
      </c>
      <c r="D106" t="s">
        <v>36</v>
      </c>
      <c r="E106" t="s">
        <v>19</v>
      </c>
      <c r="F106" t="s">
        <v>14</v>
      </c>
      <c r="G106">
        <v>1</v>
      </c>
      <c r="H106" s="3">
        <v>4340</v>
      </c>
      <c r="I106" t="s">
        <v>53</v>
      </c>
      <c r="J106" t="s">
        <v>16</v>
      </c>
    </row>
    <row r="107" spans="1:10" x14ac:dyDescent="0.3">
      <c r="A107" t="s">
        <v>167</v>
      </c>
      <c r="B107" s="2">
        <v>45946</v>
      </c>
      <c r="C107" t="s">
        <v>28</v>
      </c>
      <c r="D107" t="s">
        <v>23</v>
      </c>
      <c r="E107" t="s">
        <v>30</v>
      </c>
      <c r="F107" t="s">
        <v>25</v>
      </c>
      <c r="G107">
        <v>10</v>
      </c>
      <c r="H107" s="3">
        <v>2630</v>
      </c>
      <c r="I107" t="s">
        <v>38</v>
      </c>
      <c r="J107" t="s">
        <v>42</v>
      </c>
    </row>
    <row r="108" spans="1:10" x14ac:dyDescent="0.3">
      <c r="A108" t="s">
        <v>168</v>
      </c>
      <c r="B108" s="2">
        <v>45918</v>
      </c>
      <c r="C108" t="s">
        <v>11</v>
      </c>
      <c r="D108" t="s">
        <v>18</v>
      </c>
      <c r="E108" t="s">
        <v>37</v>
      </c>
      <c r="F108" t="s">
        <v>14</v>
      </c>
      <c r="G108">
        <v>2</v>
      </c>
      <c r="H108" s="3">
        <v>58640</v>
      </c>
      <c r="I108" t="s">
        <v>58</v>
      </c>
      <c r="J108" t="s">
        <v>21</v>
      </c>
    </row>
    <row r="109" spans="1:10" x14ac:dyDescent="0.3">
      <c r="A109" t="s">
        <v>169</v>
      </c>
      <c r="B109" s="2">
        <v>45888</v>
      </c>
      <c r="C109" t="s">
        <v>28</v>
      </c>
      <c r="D109" t="s">
        <v>29</v>
      </c>
      <c r="E109" t="s">
        <v>63</v>
      </c>
      <c r="F109" t="s">
        <v>64</v>
      </c>
      <c r="G109">
        <v>10</v>
      </c>
      <c r="H109" s="3">
        <v>7060</v>
      </c>
      <c r="I109" t="s">
        <v>53</v>
      </c>
      <c r="J109" t="s">
        <v>31</v>
      </c>
    </row>
    <row r="110" spans="1:10" x14ac:dyDescent="0.3">
      <c r="A110" t="s">
        <v>170</v>
      </c>
      <c r="B110" s="2">
        <v>45698</v>
      </c>
      <c r="C110" t="s">
        <v>44</v>
      </c>
      <c r="D110" t="s">
        <v>23</v>
      </c>
      <c r="E110" t="s">
        <v>45</v>
      </c>
      <c r="F110" t="s">
        <v>46</v>
      </c>
      <c r="G110">
        <v>5</v>
      </c>
      <c r="H110" s="3">
        <v>12790</v>
      </c>
      <c r="I110" t="s">
        <v>38</v>
      </c>
      <c r="J110" t="s">
        <v>21</v>
      </c>
    </row>
    <row r="111" spans="1:10" x14ac:dyDescent="0.3">
      <c r="A111" t="s">
        <v>171</v>
      </c>
      <c r="B111" s="2">
        <v>45685</v>
      </c>
      <c r="C111" t="s">
        <v>40</v>
      </c>
      <c r="D111" t="s">
        <v>18</v>
      </c>
      <c r="E111" t="s">
        <v>30</v>
      </c>
      <c r="F111" t="s">
        <v>25</v>
      </c>
      <c r="G111">
        <v>2</v>
      </c>
      <c r="H111" s="3">
        <v>2370</v>
      </c>
      <c r="I111" t="s">
        <v>55</v>
      </c>
      <c r="J111" t="s">
        <v>21</v>
      </c>
    </row>
    <row r="112" spans="1:10" x14ac:dyDescent="0.3">
      <c r="A112" t="s">
        <v>172</v>
      </c>
      <c r="B112" s="2">
        <v>45792</v>
      </c>
      <c r="C112" t="s">
        <v>11</v>
      </c>
      <c r="D112" t="s">
        <v>23</v>
      </c>
      <c r="E112" t="s">
        <v>19</v>
      </c>
      <c r="F112" t="s">
        <v>14</v>
      </c>
      <c r="G112">
        <v>10</v>
      </c>
      <c r="H112" s="3">
        <v>4660</v>
      </c>
      <c r="I112" t="s">
        <v>72</v>
      </c>
      <c r="J112" t="s">
        <v>21</v>
      </c>
    </row>
    <row r="113" spans="1:10" x14ac:dyDescent="0.3">
      <c r="A113" t="s">
        <v>173</v>
      </c>
      <c r="B113" s="2">
        <v>45858</v>
      </c>
      <c r="C113" t="s">
        <v>28</v>
      </c>
      <c r="D113" t="s">
        <v>12</v>
      </c>
      <c r="E113" t="s">
        <v>45</v>
      </c>
      <c r="F113" t="s">
        <v>46</v>
      </c>
      <c r="G113">
        <v>1</v>
      </c>
      <c r="H113" s="3">
        <v>12590</v>
      </c>
      <c r="I113" t="s">
        <v>49</v>
      </c>
      <c r="J113" t="s">
        <v>21</v>
      </c>
    </row>
    <row r="114" spans="1:10" x14ac:dyDescent="0.3">
      <c r="A114" t="s">
        <v>174</v>
      </c>
      <c r="B114" s="2">
        <v>45985</v>
      </c>
      <c r="C114" t="s">
        <v>11</v>
      </c>
      <c r="D114" t="s">
        <v>29</v>
      </c>
      <c r="E114" t="s">
        <v>79</v>
      </c>
      <c r="F114" t="s">
        <v>64</v>
      </c>
      <c r="G114">
        <v>1</v>
      </c>
      <c r="H114" s="3">
        <v>9080</v>
      </c>
      <c r="I114" t="s">
        <v>108</v>
      </c>
      <c r="J114" t="s">
        <v>16</v>
      </c>
    </row>
    <row r="115" spans="1:10" x14ac:dyDescent="0.3">
      <c r="A115" t="s">
        <v>175</v>
      </c>
      <c r="B115" s="2">
        <v>45925</v>
      </c>
      <c r="C115" t="s">
        <v>28</v>
      </c>
      <c r="D115" t="s">
        <v>18</v>
      </c>
      <c r="E115" t="s">
        <v>45</v>
      </c>
      <c r="F115" t="s">
        <v>46</v>
      </c>
      <c r="G115">
        <v>3</v>
      </c>
      <c r="H115" s="3">
        <v>11600</v>
      </c>
      <c r="I115" t="s">
        <v>34</v>
      </c>
      <c r="J115" t="s">
        <v>16</v>
      </c>
    </row>
    <row r="116" spans="1:10" x14ac:dyDescent="0.3">
      <c r="A116" t="s">
        <v>176</v>
      </c>
      <c r="B116" s="2">
        <v>45690</v>
      </c>
      <c r="C116" t="s">
        <v>28</v>
      </c>
      <c r="D116" t="s">
        <v>36</v>
      </c>
      <c r="E116" t="s">
        <v>37</v>
      </c>
      <c r="F116" t="s">
        <v>14</v>
      </c>
      <c r="G116">
        <v>2</v>
      </c>
      <c r="H116" s="3">
        <v>57660</v>
      </c>
      <c r="I116" t="s">
        <v>51</v>
      </c>
      <c r="J116" t="s">
        <v>21</v>
      </c>
    </row>
    <row r="117" spans="1:10" x14ac:dyDescent="0.3">
      <c r="A117" t="s">
        <v>177</v>
      </c>
      <c r="B117" s="2">
        <v>45705</v>
      </c>
      <c r="C117" t="s">
        <v>44</v>
      </c>
      <c r="D117" t="s">
        <v>23</v>
      </c>
      <c r="E117" t="s">
        <v>37</v>
      </c>
      <c r="F117" t="s">
        <v>14</v>
      </c>
      <c r="G117">
        <v>2</v>
      </c>
      <c r="H117" s="3">
        <v>58060</v>
      </c>
      <c r="I117" t="s">
        <v>55</v>
      </c>
      <c r="J117" t="s">
        <v>42</v>
      </c>
    </row>
    <row r="118" spans="1:10" x14ac:dyDescent="0.3">
      <c r="A118" t="s">
        <v>178</v>
      </c>
      <c r="B118" s="2">
        <v>45719</v>
      </c>
      <c r="C118" t="s">
        <v>44</v>
      </c>
      <c r="D118" t="s">
        <v>23</v>
      </c>
      <c r="E118" t="s">
        <v>13</v>
      </c>
      <c r="F118" t="s">
        <v>14</v>
      </c>
      <c r="G118">
        <v>2</v>
      </c>
      <c r="H118" s="3">
        <v>19360</v>
      </c>
      <c r="I118" t="s">
        <v>51</v>
      </c>
      <c r="J118" t="s">
        <v>21</v>
      </c>
    </row>
    <row r="119" spans="1:10" x14ac:dyDescent="0.3">
      <c r="A119" t="s">
        <v>179</v>
      </c>
      <c r="B119" s="2">
        <v>45873</v>
      </c>
      <c r="C119" t="s">
        <v>28</v>
      </c>
      <c r="D119" t="s">
        <v>57</v>
      </c>
      <c r="E119" t="s">
        <v>24</v>
      </c>
      <c r="F119" t="s">
        <v>25</v>
      </c>
      <c r="G119">
        <v>5</v>
      </c>
      <c r="H119" s="3">
        <v>820</v>
      </c>
      <c r="I119" t="s">
        <v>75</v>
      </c>
      <c r="J119" t="s">
        <v>21</v>
      </c>
    </row>
    <row r="120" spans="1:10" x14ac:dyDescent="0.3">
      <c r="A120" t="s">
        <v>180</v>
      </c>
      <c r="B120" s="2">
        <v>45950</v>
      </c>
      <c r="C120" t="s">
        <v>28</v>
      </c>
      <c r="D120" t="s">
        <v>29</v>
      </c>
      <c r="E120" t="s">
        <v>24</v>
      </c>
      <c r="F120" t="s">
        <v>25</v>
      </c>
      <c r="G120">
        <v>1</v>
      </c>
      <c r="H120" s="3">
        <v>720</v>
      </c>
      <c r="I120" t="s">
        <v>55</v>
      </c>
      <c r="J120" t="s">
        <v>31</v>
      </c>
    </row>
    <row r="121" spans="1:10" x14ac:dyDescent="0.3">
      <c r="A121" t="s">
        <v>181</v>
      </c>
      <c r="B121" s="2">
        <v>45756</v>
      </c>
      <c r="C121" t="s">
        <v>40</v>
      </c>
      <c r="D121" t="s">
        <v>18</v>
      </c>
      <c r="E121" t="s">
        <v>19</v>
      </c>
      <c r="F121" t="s">
        <v>14</v>
      </c>
      <c r="G121">
        <v>2</v>
      </c>
      <c r="H121" s="3">
        <v>4790</v>
      </c>
      <c r="I121" t="s">
        <v>75</v>
      </c>
      <c r="J121" t="s">
        <v>42</v>
      </c>
    </row>
    <row r="122" spans="1:10" x14ac:dyDescent="0.3">
      <c r="A122" t="s">
        <v>182</v>
      </c>
      <c r="B122" s="2">
        <v>45829</v>
      </c>
      <c r="C122" t="s">
        <v>40</v>
      </c>
      <c r="D122" t="s">
        <v>23</v>
      </c>
      <c r="E122" t="s">
        <v>183</v>
      </c>
      <c r="F122" t="s">
        <v>46</v>
      </c>
      <c r="G122">
        <v>5</v>
      </c>
      <c r="H122" s="3">
        <v>11820</v>
      </c>
      <c r="I122" t="s">
        <v>94</v>
      </c>
      <c r="J122" t="s">
        <v>31</v>
      </c>
    </row>
    <row r="123" spans="1:10" x14ac:dyDescent="0.3">
      <c r="A123" t="s">
        <v>184</v>
      </c>
      <c r="B123" s="2">
        <v>46017</v>
      </c>
      <c r="C123" t="s">
        <v>44</v>
      </c>
      <c r="D123" t="s">
        <v>12</v>
      </c>
      <c r="E123" t="s">
        <v>19</v>
      </c>
      <c r="F123" t="s">
        <v>14</v>
      </c>
      <c r="G123">
        <v>5</v>
      </c>
      <c r="H123" s="3">
        <v>4510</v>
      </c>
      <c r="I123" t="s">
        <v>77</v>
      </c>
      <c r="J123" t="s">
        <v>31</v>
      </c>
    </row>
    <row r="124" spans="1:10" x14ac:dyDescent="0.3">
      <c r="A124" t="s">
        <v>185</v>
      </c>
      <c r="B124" s="2">
        <v>45871</v>
      </c>
      <c r="C124" t="s">
        <v>44</v>
      </c>
      <c r="D124" t="s">
        <v>18</v>
      </c>
      <c r="E124" t="s">
        <v>24</v>
      </c>
      <c r="F124" t="s">
        <v>25</v>
      </c>
      <c r="G124">
        <v>2</v>
      </c>
      <c r="H124" s="3">
        <v>850</v>
      </c>
      <c r="I124" t="s">
        <v>49</v>
      </c>
      <c r="J124" t="s">
        <v>31</v>
      </c>
    </row>
    <row r="125" spans="1:10" x14ac:dyDescent="0.3">
      <c r="A125" t="s">
        <v>186</v>
      </c>
      <c r="B125" s="2">
        <v>45692</v>
      </c>
      <c r="C125" t="s">
        <v>44</v>
      </c>
      <c r="D125" t="s">
        <v>23</v>
      </c>
      <c r="E125" t="s">
        <v>19</v>
      </c>
      <c r="F125" t="s">
        <v>14</v>
      </c>
      <c r="G125">
        <v>10</v>
      </c>
      <c r="H125" s="3">
        <v>4430</v>
      </c>
      <c r="I125" t="s">
        <v>75</v>
      </c>
      <c r="J125" t="s">
        <v>21</v>
      </c>
    </row>
    <row r="126" spans="1:10" x14ac:dyDescent="0.3">
      <c r="A126" t="s">
        <v>187</v>
      </c>
      <c r="B126" s="2">
        <v>45884</v>
      </c>
      <c r="C126" t="s">
        <v>44</v>
      </c>
      <c r="D126" t="s">
        <v>57</v>
      </c>
      <c r="E126" t="s">
        <v>45</v>
      </c>
      <c r="F126" t="s">
        <v>46</v>
      </c>
      <c r="G126">
        <v>4</v>
      </c>
      <c r="H126" s="3">
        <v>11090</v>
      </c>
      <c r="I126" t="s">
        <v>58</v>
      </c>
      <c r="J126" t="s">
        <v>31</v>
      </c>
    </row>
    <row r="127" spans="1:10" x14ac:dyDescent="0.3">
      <c r="A127" t="s">
        <v>188</v>
      </c>
      <c r="B127" s="2">
        <v>45758</v>
      </c>
      <c r="C127" t="s">
        <v>28</v>
      </c>
      <c r="D127" t="s">
        <v>23</v>
      </c>
      <c r="E127" t="s">
        <v>45</v>
      </c>
      <c r="F127" t="s">
        <v>46</v>
      </c>
      <c r="G127">
        <v>4</v>
      </c>
      <c r="H127" s="3">
        <v>13010</v>
      </c>
      <c r="I127" t="s">
        <v>72</v>
      </c>
      <c r="J127" t="s">
        <v>31</v>
      </c>
    </row>
    <row r="128" spans="1:10" x14ac:dyDescent="0.3">
      <c r="A128" t="s">
        <v>189</v>
      </c>
      <c r="B128" s="2">
        <v>45788</v>
      </c>
      <c r="C128" t="s">
        <v>40</v>
      </c>
      <c r="D128" t="s">
        <v>36</v>
      </c>
      <c r="E128" t="s">
        <v>30</v>
      </c>
      <c r="F128" t="s">
        <v>25</v>
      </c>
      <c r="G128">
        <v>10</v>
      </c>
      <c r="H128" s="3">
        <v>2620</v>
      </c>
      <c r="I128" t="s">
        <v>101</v>
      </c>
      <c r="J128" t="s">
        <v>16</v>
      </c>
    </row>
    <row r="129" spans="1:10" x14ac:dyDescent="0.3">
      <c r="A129" t="s">
        <v>190</v>
      </c>
      <c r="B129" s="2">
        <v>45914</v>
      </c>
      <c r="C129" t="s">
        <v>40</v>
      </c>
      <c r="D129" t="s">
        <v>18</v>
      </c>
      <c r="E129" t="s">
        <v>24</v>
      </c>
      <c r="F129" t="s">
        <v>25</v>
      </c>
      <c r="G129">
        <v>10</v>
      </c>
      <c r="H129" s="3">
        <v>860</v>
      </c>
      <c r="I129" t="s">
        <v>108</v>
      </c>
      <c r="J129" t="s">
        <v>42</v>
      </c>
    </row>
    <row r="130" spans="1:10" x14ac:dyDescent="0.3">
      <c r="A130" t="s">
        <v>191</v>
      </c>
      <c r="B130" s="2">
        <v>45662</v>
      </c>
      <c r="C130" t="s">
        <v>28</v>
      </c>
      <c r="D130" t="s">
        <v>36</v>
      </c>
      <c r="E130" t="s">
        <v>13</v>
      </c>
      <c r="F130" t="s">
        <v>14</v>
      </c>
      <c r="G130">
        <v>1</v>
      </c>
      <c r="H130" s="3">
        <v>18310</v>
      </c>
      <c r="I130" t="s">
        <v>72</v>
      </c>
      <c r="J130" t="s">
        <v>42</v>
      </c>
    </row>
    <row r="131" spans="1:10" x14ac:dyDescent="0.3">
      <c r="A131" t="s">
        <v>192</v>
      </c>
      <c r="B131" s="2">
        <v>45875</v>
      </c>
      <c r="C131" t="s">
        <v>40</v>
      </c>
      <c r="D131" t="s">
        <v>57</v>
      </c>
      <c r="E131" t="s">
        <v>63</v>
      </c>
      <c r="F131" t="s">
        <v>64</v>
      </c>
      <c r="G131">
        <v>10</v>
      </c>
      <c r="H131" s="3">
        <v>7500</v>
      </c>
      <c r="I131" t="s">
        <v>53</v>
      </c>
      <c r="J131" t="s">
        <v>21</v>
      </c>
    </row>
    <row r="132" spans="1:10" x14ac:dyDescent="0.3">
      <c r="A132" t="s">
        <v>193</v>
      </c>
      <c r="B132" s="2">
        <v>45912</v>
      </c>
      <c r="C132" t="s">
        <v>28</v>
      </c>
      <c r="D132" t="s">
        <v>12</v>
      </c>
      <c r="E132" t="s">
        <v>45</v>
      </c>
      <c r="F132" t="s">
        <v>46</v>
      </c>
      <c r="G132">
        <v>1</v>
      </c>
      <c r="H132" s="3">
        <v>12390</v>
      </c>
      <c r="I132" t="s">
        <v>34</v>
      </c>
      <c r="J132" t="s">
        <v>21</v>
      </c>
    </row>
    <row r="133" spans="1:10" x14ac:dyDescent="0.3">
      <c r="A133" t="s">
        <v>194</v>
      </c>
      <c r="B133" s="2">
        <v>46016</v>
      </c>
      <c r="C133" t="s">
        <v>11</v>
      </c>
      <c r="D133" t="s">
        <v>57</v>
      </c>
      <c r="E133" t="s">
        <v>37</v>
      </c>
      <c r="F133" t="s">
        <v>14</v>
      </c>
      <c r="G133">
        <v>2</v>
      </c>
      <c r="H133" s="3">
        <v>54060</v>
      </c>
      <c r="I133" t="s">
        <v>75</v>
      </c>
      <c r="J133" t="s">
        <v>21</v>
      </c>
    </row>
    <row r="134" spans="1:10" x14ac:dyDescent="0.3">
      <c r="A134" t="s">
        <v>195</v>
      </c>
      <c r="B134" s="2">
        <v>45940</v>
      </c>
      <c r="C134" t="s">
        <v>40</v>
      </c>
      <c r="D134" t="s">
        <v>29</v>
      </c>
      <c r="E134" t="s">
        <v>79</v>
      </c>
      <c r="F134" t="s">
        <v>64</v>
      </c>
      <c r="G134">
        <v>1</v>
      </c>
      <c r="H134" s="3">
        <v>8660</v>
      </c>
      <c r="I134" t="s">
        <v>72</v>
      </c>
      <c r="J134" t="s">
        <v>42</v>
      </c>
    </row>
    <row r="135" spans="1:10" x14ac:dyDescent="0.3">
      <c r="A135" t="s">
        <v>196</v>
      </c>
      <c r="B135" s="2">
        <v>45864</v>
      </c>
      <c r="C135" t="s">
        <v>44</v>
      </c>
      <c r="D135" t="s">
        <v>23</v>
      </c>
      <c r="E135" t="s">
        <v>37</v>
      </c>
      <c r="F135" t="s">
        <v>14</v>
      </c>
      <c r="G135">
        <v>5</v>
      </c>
      <c r="H135" s="3">
        <v>55960</v>
      </c>
      <c r="I135" t="s">
        <v>72</v>
      </c>
      <c r="J135" t="s">
        <v>16</v>
      </c>
    </row>
    <row r="136" spans="1:10" x14ac:dyDescent="0.3">
      <c r="A136" t="s">
        <v>197</v>
      </c>
      <c r="B136" s="2">
        <v>45672</v>
      </c>
      <c r="C136" t="s">
        <v>44</v>
      </c>
      <c r="D136" t="s">
        <v>18</v>
      </c>
      <c r="E136" t="s">
        <v>13</v>
      </c>
      <c r="F136" t="s">
        <v>14</v>
      </c>
      <c r="G136">
        <v>1</v>
      </c>
      <c r="H136" s="3">
        <v>18120</v>
      </c>
      <c r="I136" t="s">
        <v>51</v>
      </c>
      <c r="J136" t="s">
        <v>16</v>
      </c>
    </row>
    <row r="137" spans="1:10" x14ac:dyDescent="0.3">
      <c r="A137" t="s">
        <v>198</v>
      </c>
      <c r="B137" s="2">
        <v>46003</v>
      </c>
      <c r="C137" t="s">
        <v>28</v>
      </c>
      <c r="D137" t="s">
        <v>29</v>
      </c>
      <c r="E137" t="s">
        <v>24</v>
      </c>
      <c r="F137" t="s">
        <v>25</v>
      </c>
      <c r="G137">
        <v>1</v>
      </c>
      <c r="H137" s="3">
        <v>770</v>
      </c>
      <c r="I137" t="s">
        <v>65</v>
      </c>
      <c r="J137" t="s">
        <v>42</v>
      </c>
    </row>
    <row r="138" spans="1:10" x14ac:dyDescent="0.3">
      <c r="A138" t="s">
        <v>199</v>
      </c>
      <c r="B138" s="2">
        <v>45699</v>
      </c>
      <c r="C138" t="s">
        <v>28</v>
      </c>
      <c r="D138" t="s">
        <v>36</v>
      </c>
      <c r="E138" t="s">
        <v>33</v>
      </c>
      <c r="F138" t="s">
        <v>25</v>
      </c>
      <c r="G138">
        <v>1</v>
      </c>
      <c r="H138" s="3">
        <v>1470</v>
      </c>
      <c r="I138" t="s">
        <v>15</v>
      </c>
      <c r="J138" t="s">
        <v>16</v>
      </c>
    </row>
    <row r="139" spans="1:10" x14ac:dyDescent="0.3">
      <c r="A139" t="s">
        <v>200</v>
      </c>
      <c r="B139" s="2">
        <v>45836</v>
      </c>
      <c r="C139" t="s">
        <v>28</v>
      </c>
      <c r="D139" t="s">
        <v>29</v>
      </c>
      <c r="E139" t="s">
        <v>63</v>
      </c>
      <c r="F139" t="s">
        <v>64</v>
      </c>
      <c r="G139">
        <v>1</v>
      </c>
      <c r="H139" s="3">
        <v>7580</v>
      </c>
      <c r="I139" t="s">
        <v>75</v>
      </c>
      <c r="J139" t="s">
        <v>42</v>
      </c>
    </row>
    <row r="140" spans="1:10" x14ac:dyDescent="0.3">
      <c r="A140" t="s">
        <v>201</v>
      </c>
      <c r="B140" s="2">
        <v>45720</v>
      </c>
      <c r="C140" t="s">
        <v>44</v>
      </c>
      <c r="D140" t="s">
        <v>36</v>
      </c>
      <c r="E140" t="s">
        <v>41</v>
      </c>
      <c r="F140" t="s">
        <v>14</v>
      </c>
      <c r="G140">
        <v>2</v>
      </c>
      <c r="H140" s="3">
        <v>26200</v>
      </c>
      <c r="I140" t="s">
        <v>77</v>
      </c>
      <c r="J140" t="s">
        <v>31</v>
      </c>
    </row>
    <row r="141" spans="1:10" x14ac:dyDescent="0.3">
      <c r="A141" t="s">
        <v>202</v>
      </c>
      <c r="B141" s="2">
        <v>46009</v>
      </c>
      <c r="C141" t="s">
        <v>40</v>
      </c>
      <c r="D141" t="s">
        <v>23</v>
      </c>
      <c r="E141" t="s">
        <v>13</v>
      </c>
      <c r="F141" t="s">
        <v>14</v>
      </c>
      <c r="G141">
        <v>1</v>
      </c>
      <c r="H141" s="3">
        <v>17080</v>
      </c>
      <c r="I141" t="s">
        <v>94</v>
      </c>
      <c r="J141" t="s">
        <v>31</v>
      </c>
    </row>
    <row r="142" spans="1:10" x14ac:dyDescent="0.3">
      <c r="A142" t="s">
        <v>203</v>
      </c>
      <c r="B142" s="2">
        <v>45888</v>
      </c>
      <c r="C142" t="s">
        <v>44</v>
      </c>
      <c r="D142" t="s">
        <v>23</v>
      </c>
      <c r="E142" t="s">
        <v>24</v>
      </c>
      <c r="F142" t="s">
        <v>25</v>
      </c>
      <c r="G142">
        <v>2</v>
      </c>
      <c r="H142" s="3">
        <v>830</v>
      </c>
      <c r="I142" t="s">
        <v>20</v>
      </c>
      <c r="J142" t="s">
        <v>42</v>
      </c>
    </row>
    <row r="143" spans="1:10" x14ac:dyDescent="0.3">
      <c r="A143" t="s">
        <v>204</v>
      </c>
      <c r="B143" s="2">
        <v>45898</v>
      </c>
      <c r="C143" t="s">
        <v>44</v>
      </c>
      <c r="D143" t="s">
        <v>29</v>
      </c>
      <c r="E143" t="s">
        <v>79</v>
      </c>
      <c r="F143" t="s">
        <v>64</v>
      </c>
      <c r="G143">
        <v>4</v>
      </c>
      <c r="H143" s="3">
        <v>9420</v>
      </c>
      <c r="I143" t="s">
        <v>20</v>
      </c>
      <c r="J143" t="s">
        <v>21</v>
      </c>
    </row>
    <row r="144" spans="1:10" x14ac:dyDescent="0.3">
      <c r="A144" t="s">
        <v>205</v>
      </c>
      <c r="B144" s="2">
        <v>45709</v>
      </c>
      <c r="C144" t="s">
        <v>40</v>
      </c>
      <c r="D144" t="s">
        <v>18</v>
      </c>
      <c r="E144" t="s">
        <v>33</v>
      </c>
      <c r="F144" t="s">
        <v>25</v>
      </c>
      <c r="G144">
        <v>2</v>
      </c>
      <c r="H144" s="3">
        <v>1540</v>
      </c>
      <c r="I144" t="s">
        <v>53</v>
      </c>
      <c r="J144" t="s">
        <v>16</v>
      </c>
    </row>
    <row r="145" spans="1:10" x14ac:dyDescent="0.3">
      <c r="A145" t="s">
        <v>206</v>
      </c>
      <c r="B145" s="2">
        <v>45753</v>
      </c>
      <c r="C145" t="s">
        <v>28</v>
      </c>
      <c r="D145" t="s">
        <v>18</v>
      </c>
      <c r="E145" t="s">
        <v>30</v>
      </c>
      <c r="F145" t="s">
        <v>25</v>
      </c>
      <c r="G145">
        <v>2</v>
      </c>
      <c r="H145" s="3">
        <v>2420</v>
      </c>
      <c r="I145" t="s">
        <v>38</v>
      </c>
      <c r="J145" t="s">
        <v>16</v>
      </c>
    </row>
    <row r="146" spans="1:10" x14ac:dyDescent="0.3">
      <c r="A146" t="s">
        <v>207</v>
      </c>
      <c r="B146" s="2">
        <v>45879</v>
      </c>
      <c r="C146" t="s">
        <v>40</v>
      </c>
      <c r="D146" t="s">
        <v>23</v>
      </c>
      <c r="E146" t="s">
        <v>79</v>
      </c>
      <c r="F146" t="s">
        <v>64</v>
      </c>
      <c r="G146">
        <v>2</v>
      </c>
      <c r="H146" s="3">
        <v>9220</v>
      </c>
      <c r="I146" t="s">
        <v>101</v>
      </c>
      <c r="J146" t="s">
        <v>42</v>
      </c>
    </row>
    <row r="147" spans="1:10" x14ac:dyDescent="0.3">
      <c r="A147" t="s">
        <v>208</v>
      </c>
      <c r="B147" s="2">
        <v>45888</v>
      </c>
      <c r="C147" t="s">
        <v>40</v>
      </c>
      <c r="D147" t="s">
        <v>36</v>
      </c>
      <c r="E147" t="s">
        <v>30</v>
      </c>
      <c r="F147" t="s">
        <v>25</v>
      </c>
      <c r="G147">
        <v>1</v>
      </c>
      <c r="H147" s="3">
        <v>2720</v>
      </c>
      <c r="I147" t="s">
        <v>49</v>
      </c>
      <c r="J147" t="s">
        <v>42</v>
      </c>
    </row>
    <row r="148" spans="1:10" x14ac:dyDescent="0.3">
      <c r="A148" t="s">
        <v>209</v>
      </c>
      <c r="B148" s="2">
        <v>45894</v>
      </c>
      <c r="C148" t="s">
        <v>44</v>
      </c>
      <c r="D148" t="s">
        <v>18</v>
      </c>
      <c r="E148" t="s">
        <v>63</v>
      </c>
      <c r="F148" t="s">
        <v>64</v>
      </c>
      <c r="G148">
        <v>4</v>
      </c>
      <c r="H148" s="3">
        <v>7950</v>
      </c>
      <c r="I148" t="s">
        <v>72</v>
      </c>
      <c r="J148" t="s">
        <v>21</v>
      </c>
    </row>
    <row r="149" spans="1:10" x14ac:dyDescent="0.3">
      <c r="A149" t="s">
        <v>210</v>
      </c>
      <c r="B149" s="2">
        <v>45800</v>
      </c>
      <c r="C149" t="s">
        <v>44</v>
      </c>
      <c r="D149" t="s">
        <v>12</v>
      </c>
      <c r="E149" t="s">
        <v>41</v>
      </c>
      <c r="F149" t="s">
        <v>14</v>
      </c>
      <c r="G149">
        <v>5</v>
      </c>
      <c r="H149" s="3">
        <v>29110</v>
      </c>
      <c r="I149" t="s">
        <v>94</v>
      </c>
      <c r="J149" t="s">
        <v>42</v>
      </c>
    </row>
    <row r="150" spans="1:10" x14ac:dyDescent="0.3">
      <c r="A150" t="s">
        <v>211</v>
      </c>
      <c r="B150" s="2">
        <v>45828</v>
      </c>
      <c r="C150" t="s">
        <v>28</v>
      </c>
      <c r="D150" t="s">
        <v>23</v>
      </c>
      <c r="E150" t="s">
        <v>24</v>
      </c>
      <c r="F150" t="s">
        <v>25</v>
      </c>
      <c r="G150">
        <v>1</v>
      </c>
      <c r="H150" s="3">
        <v>760</v>
      </c>
      <c r="I150" t="s">
        <v>15</v>
      </c>
      <c r="J150" t="s">
        <v>31</v>
      </c>
    </row>
    <row r="151" spans="1:10" x14ac:dyDescent="0.3">
      <c r="A151" t="s">
        <v>212</v>
      </c>
      <c r="B151" s="2">
        <v>45686</v>
      </c>
      <c r="C151" t="s">
        <v>40</v>
      </c>
      <c r="D151" t="s">
        <v>12</v>
      </c>
      <c r="E151" t="s">
        <v>30</v>
      </c>
      <c r="F151" t="s">
        <v>25</v>
      </c>
      <c r="G151">
        <v>2</v>
      </c>
      <c r="H151" s="3">
        <v>2500</v>
      </c>
      <c r="I151" t="s">
        <v>81</v>
      </c>
      <c r="J151" t="s">
        <v>21</v>
      </c>
    </row>
    <row r="152" spans="1:10" x14ac:dyDescent="0.3">
      <c r="A152" t="s">
        <v>213</v>
      </c>
      <c r="B152" s="2">
        <v>45693</v>
      </c>
      <c r="C152" t="s">
        <v>214</v>
      </c>
      <c r="D152" t="s">
        <v>57</v>
      </c>
      <c r="E152" t="s">
        <v>45</v>
      </c>
      <c r="F152" t="s">
        <v>46</v>
      </c>
      <c r="G152">
        <v>4</v>
      </c>
      <c r="H152" s="3">
        <v>11060</v>
      </c>
      <c r="I152" t="s">
        <v>51</v>
      </c>
      <c r="J152" t="s">
        <v>16</v>
      </c>
    </row>
    <row r="153" spans="1:10" x14ac:dyDescent="0.3">
      <c r="A153" t="s">
        <v>215</v>
      </c>
      <c r="B153" s="2">
        <v>45670</v>
      </c>
      <c r="C153" t="s">
        <v>44</v>
      </c>
      <c r="D153" t="s">
        <v>57</v>
      </c>
      <c r="E153" t="s">
        <v>63</v>
      </c>
      <c r="F153" t="s">
        <v>64</v>
      </c>
      <c r="G153">
        <v>1</v>
      </c>
      <c r="H153" s="3">
        <v>7650</v>
      </c>
      <c r="I153" t="s">
        <v>108</v>
      </c>
      <c r="J153" t="s">
        <v>42</v>
      </c>
    </row>
    <row r="154" spans="1:10" x14ac:dyDescent="0.3">
      <c r="A154" t="s">
        <v>216</v>
      </c>
      <c r="B154" s="2">
        <v>45817</v>
      </c>
      <c r="C154" t="s">
        <v>40</v>
      </c>
      <c r="D154" t="s">
        <v>23</v>
      </c>
      <c r="E154" t="s">
        <v>37</v>
      </c>
      <c r="F154" t="s">
        <v>14</v>
      </c>
      <c r="G154">
        <v>2</v>
      </c>
      <c r="H154" s="3">
        <v>53710</v>
      </c>
      <c r="I154" t="s">
        <v>141</v>
      </c>
      <c r="J154" t="s">
        <v>31</v>
      </c>
    </row>
    <row r="155" spans="1:10" x14ac:dyDescent="0.3">
      <c r="A155" t="s">
        <v>217</v>
      </c>
      <c r="B155" s="2">
        <v>45984</v>
      </c>
      <c r="C155" t="s">
        <v>11</v>
      </c>
      <c r="D155" t="s">
        <v>29</v>
      </c>
      <c r="E155" t="s">
        <v>45</v>
      </c>
      <c r="F155" t="s">
        <v>46</v>
      </c>
      <c r="G155">
        <v>1</v>
      </c>
      <c r="H155" s="3">
        <v>11000</v>
      </c>
      <c r="I155" t="s">
        <v>94</v>
      </c>
      <c r="J155" t="s">
        <v>31</v>
      </c>
    </row>
    <row r="156" spans="1:10" x14ac:dyDescent="0.3">
      <c r="A156" t="s">
        <v>218</v>
      </c>
      <c r="B156" s="2">
        <v>45844</v>
      </c>
      <c r="C156" t="s">
        <v>11</v>
      </c>
      <c r="D156" t="s">
        <v>29</v>
      </c>
      <c r="E156" t="s">
        <v>24</v>
      </c>
      <c r="F156" t="s">
        <v>25</v>
      </c>
      <c r="G156">
        <v>1</v>
      </c>
      <c r="H156" s="3">
        <v>840</v>
      </c>
      <c r="I156" t="s">
        <v>141</v>
      </c>
      <c r="J156" t="s">
        <v>16</v>
      </c>
    </row>
    <row r="157" spans="1:10" x14ac:dyDescent="0.3">
      <c r="A157" t="s">
        <v>219</v>
      </c>
      <c r="B157" s="2">
        <v>45900</v>
      </c>
      <c r="C157" t="s">
        <v>11</v>
      </c>
      <c r="D157" t="s">
        <v>12</v>
      </c>
      <c r="E157" t="s">
        <v>63</v>
      </c>
      <c r="F157" t="s">
        <v>64</v>
      </c>
      <c r="G157">
        <v>3</v>
      </c>
      <c r="H157" s="3">
        <v>6950</v>
      </c>
      <c r="I157" t="s">
        <v>55</v>
      </c>
      <c r="J157" t="s">
        <v>16</v>
      </c>
    </row>
    <row r="158" spans="1:10" x14ac:dyDescent="0.3">
      <c r="A158" t="s">
        <v>220</v>
      </c>
      <c r="B158" s="2">
        <v>45743</v>
      </c>
      <c r="C158" t="s">
        <v>28</v>
      </c>
      <c r="D158" t="s">
        <v>12</v>
      </c>
      <c r="E158" t="s">
        <v>24</v>
      </c>
      <c r="F158" t="s">
        <v>25</v>
      </c>
      <c r="G158">
        <v>1</v>
      </c>
      <c r="H158" s="3">
        <v>820</v>
      </c>
      <c r="I158" t="s">
        <v>69</v>
      </c>
      <c r="J158" t="s">
        <v>16</v>
      </c>
    </row>
    <row r="159" spans="1:10" x14ac:dyDescent="0.3">
      <c r="A159" t="s">
        <v>221</v>
      </c>
      <c r="B159" s="2">
        <v>45941</v>
      </c>
      <c r="C159" t="s">
        <v>44</v>
      </c>
      <c r="D159" t="s">
        <v>12</v>
      </c>
      <c r="E159" t="s">
        <v>13</v>
      </c>
      <c r="F159" t="s">
        <v>14</v>
      </c>
      <c r="G159">
        <v>10</v>
      </c>
      <c r="H159" s="3">
        <v>18980</v>
      </c>
      <c r="I159" t="s">
        <v>101</v>
      </c>
      <c r="J159" t="s">
        <v>31</v>
      </c>
    </row>
    <row r="160" spans="1:10" x14ac:dyDescent="0.3">
      <c r="A160" t="s">
        <v>222</v>
      </c>
      <c r="B160" s="2">
        <v>45723</v>
      </c>
      <c r="C160" t="s">
        <v>28</v>
      </c>
      <c r="D160" t="s">
        <v>18</v>
      </c>
      <c r="E160" t="s">
        <v>37</v>
      </c>
      <c r="F160" t="s">
        <v>14</v>
      </c>
      <c r="G160">
        <v>1</v>
      </c>
      <c r="H160" s="3">
        <v>54950</v>
      </c>
      <c r="I160" t="s">
        <v>108</v>
      </c>
      <c r="J160" t="s">
        <v>16</v>
      </c>
    </row>
    <row r="161" spans="1:10" x14ac:dyDescent="0.3">
      <c r="A161" t="s">
        <v>223</v>
      </c>
      <c r="B161" s="2">
        <v>45827</v>
      </c>
      <c r="C161" t="s">
        <v>11</v>
      </c>
      <c r="D161" t="s">
        <v>29</v>
      </c>
      <c r="E161" t="s">
        <v>33</v>
      </c>
      <c r="F161" t="s">
        <v>25</v>
      </c>
      <c r="G161">
        <v>1</v>
      </c>
      <c r="H161" s="3">
        <v>1590</v>
      </c>
      <c r="I161" t="s">
        <v>51</v>
      </c>
      <c r="J161" t="s">
        <v>42</v>
      </c>
    </row>
    <row r="162" spans="1:10" x14ac:dyDescent="0.3">
      <c r="A162" t="s">
        <v>224</v>
      </c>
      <c r="B162" s="2">
        <v>45702</v>
      </c>
      <c r="C162" t="s">
        <v>28</v>
      </c>
      <c r="D162" t="s">
        <v>12</v>
      </c>
      <c r="E162" t="s">
        <v>33</v>
      </c>
      <c r="F162" t="s">
        <v>25</v>
      </c>
      <c r="G162">
        <v>2</v>
      </c>
      <c r="H162" s="3">
        <v>1380</v>
      </c>
      <c r="I162" t="s">
        <v>49</v>
      </c>
      <c r="J162" t="s">
        <v>42</v>
      </c>
    </row>
    <row r="163" spans="1:10" x14ac:dyDescent="0.3">
      <c r="A163" t="s">
        <v>225</v>
      </c>
      <c r="B163" s="2">
        <v>45719</v>
      </c>
      <c r="C163" t="s">
        <v>11</v>
      </c>
      <c r="D163" t="s">
        <v>23</v>
      </c>
      <c r="E163" t="s">
        <v>41</v>
      </c>
      <c r="F163" t="s">
        <v>14</v>
      </c>
      <c r="G163">
        <v>4</v>
      </c>
      <c r="H163" s="3">
        <v>28120</v>
      </c>
      <c r="I163" t="s">
        <v>20</v>
      </c>
      <c r="J163" t="s">
        <v>31</v>
      </c>
    </row>
    <row r="164" spans="1:10" x14ac:dyDescent="0.3">
      <c r="A164" t="s">
        <v>226</v>
      </c>
      <c r="B164" s="2">
        <v>45791</v>
      </c>
      <c r="C164" t="s">
        <v>44</v>
      </c>
      <c r="D164" t="s">
        <v>57</v>
      </c>
      <c r="E164" t="s">
        <v>33</v>
      </c>
      <c r="F164" t="s">
        <v>25</v>
      </c>
      <c r="G164">
        <v>5</v>
      </c>
      <c r="H164" s="3">
        <v>1540</v>
      </c>
      <c r="I164" t="s">
        <v>20</v>
      </c>
      <c r="J164" t="s">
        <v>42</v>
      </c>
    </row>
    <row r="165" spans="1:10" x14ac:dyDescent="0.3">
      <c r="A165" t="s">
        <v>227</v>
      </c>
      <c r="B165" s="2">
        <v>45941</v>
      </c>
      <c r="C165" t="s">
        <v>11</v>
      </c>
      <c r="D165" t="s">
        <v>29</v>
      </c>
      <c r="E165" t="s">
        <v>63</v>
      </c>
      <c r="F165" t="s">
        <v>64</v>
      </c>
      <c r="G165">
        <v>10</v>
      </c>
      <c r="H165" s="3">
        <v>8110</v>
      </c>
      <c r="I165" t="s">
        <v>101</v>
      </c>
      <c r="J165" t="s">
        <v>21</v>
      </c>
    </row>
    <row r="166" spans="1:10" x14ac:dyDescent="0.3">
      <c r="A166" t="s">
        <v>228</v>
      </c>
      <c r="B166" s="2">
        <v>45685</v>
      </c>
      <c r="C166" t="s">
        <v>40</v>
      </c>
      <c r="D166" t="s">
        <v>57</v>
      </c>
      <c r="E166" t="s">
        <v>19</v>
      </c>
      <c r="F166" t="s">
        <v>14</v>
      </c>
      <c r="G166">
        <v>4</v>
      </c>
      <c r="H166" s="3">
        <v>4950</v>
      </c>
      <c r="I166" t="s">
        <v>108</v>
      </c>
      <c r="J166" t="s">
        <v>42</v>
      </c>
    </row>
    <row r="167" spans="1:10" x14ac:dyDescent="0.3">
      <c r="A167" t="s">
        <v>229</v>
      </c>
      <c r="B167" s="2">
        <v>45765</v>
      </c>
      <c r="C167" t="s">
        <v>11</v>
      </c>
      <c r="D167" t="s">
        <v>18</v>
      </c>
      <c r="E167" t="s">
        <v>30</v>
      </c>
      <c r="F167" t="s">
        <v>25</v>
      </c>
      <c r="G167">
        <v>4</v>
      </c>
      <c r="H167" s="3">
        <v>2400</v>
      </c>
      <c r="I167" t="s">
        <v>15</v>
      </c>
      <c r="J167" t="s">
        <v>16</v>
      </c>
    </row>
    <row r="168" spans="1:10" x14ac:dyDescent="0.3">
      <c r="A168" t="s">
        <v>230</v>
      </c>
      <c r="B168" s="2">
        <v>45701</v>
      </c>
      <c r="C168" t="s">
        <v>28</v>
      </c>
      <c r="D168" t="s">
        <v>18</v>
      </c>
      <c r="E168" t="s">
        <v>24</v>
      </c>
      <c r="F168" t="s">
        <v>25</v>
      </c>
      <c r="G168">
        <v>4</v>
      </c>
      <c r="H168" s="3">
        <v>790</v>
      </c>
      <c r="I168" t="s">
        <v>108</v>
      </c>
      <c r="J168" t="s">
        <v>21</v>
      </c>
    </row>
    <row r="169" spans="1:10" x14ac:dyDescent="0.3">
      <c r="A169" t="s">
        <v>231</v>
      </c>
      <c r="B169" s="2">
        <v>45997</v>
      </c>
      <c r="C169" t="s">
        <v>44</v>
      </c>
      <c r="D169" t="s">
        <v>18</v>
      </c>
      <c r="E169" t="s">
        <v>63</v>
      </c>
      <c r="F169" t="s">
        <v>64</v>
      </c>
      <c r="G169">
        <v>1</v>
      </c>
      <c r="H169" s="3">
        <v>7590</v>
      </c>
      <c r="I169" t="s">
        <v>38</v>
      </c>
      <c r="J169" t="s">
        <v>21</v>
      </c>
    </row>
    <row r="170" spans="1:10" x14ac:dyDescent="0.3">
      <c r="A170" t="s">
        <v>232</v>
      </c>
      <c r="B170" s="2">
        <v>45943</v>
      </c>
      <c r="C170" t="s">
        <v>28</v>
      </c>
      <c r="D170" t="s">
        <v>12</v>
      </c>
      <c r="E170" t="s">
        <v>63</v>
      </c>
      <c r="F170" t="s">
        <v>64</v>
      </c>
      <c r="G170">
        <v>4</v>
      </c>
      <c r="H170" s="3">
        <v>7360</v>
      </c>
      <c r="I170" t="s">
        <v>55</v>
      </c>
      <c r="J170" t="s">
        <v>21</v>
      </c>
    </row>
    <row r="171" spans="1:10" x14ac:dyDescent="0.3">
      <c r="A171" t="s">
        <v>233</v>
      </c>
      <c r="B171" s="2">
        <v>45988</v>
      </c>
      <c r="C171" t="s">
        <v>44</v>
      </c>
      <c r="D171" t="s">
        <v>57</v>
      </c>
      <c r="E171" t="s">
        <v>45</v>
      </c>
      <c r="F171" t="s">
        <v>46</v>
      </c>
      <c r="G171">
        <v>10</v>
      </c>
      <c r="H171" s="3">
        <v>12570</v>
      </c>
      <c r="I171" t="s">
        <v>65</v>
      </c>
      <c r="J171" t="s">
        <v>31</v>
      </c>
    </row>
    <row r="172" spans="1:10" x14ac:dyDescent="0.3">
      <c r="A172" t="s">
        <v>234</v>
      </c>
      <c r="B172" s="2">
        <v>45785</v>
      </c>
      <c r="C172" t="s">
        <v>40</v>
      </c>
      <c r="D172" t="s">
        <v>23</v>
      </c>
      <c r="E172" t="s">
        <v>13</v>
      </c>
      <c r="F172" t="s">
        <v>14</v>
      </c>
      <c r="G172">
        <v>4</v>
      </c>
      <c r="H172" s="3">
        <v>17860</v>
      </c>
      <c r="I172" t="s">
        <v>69</v>
      </c>
      <c r="J172" t="s">
        <v>21</v>
      </c>
    </row>
    <row r="173" spans="1:10" x14ac:dyDescent="0.3">
      <c r="A173" t="s">
        <v>235</v>
      </c>
      <c r="B173" s="2">
        <v>46005</v>
      </c>
      <c r="C173" t="s">
        <v>40</v>
      </c>
      <c r="D173" t="s">
        <v>36</v>
      </c>
      <c r="E173" t="s">
        <v>13</v>
      </c>
      <c r="F173" t="s">
        <v>14</v>
      </c>
      <c r="G173">
        <v>1</v>
      </c>
      <c r="H173" s="3">
        <v>16450</v>
      </c>
      <c r="I173" t="s">
        <v>49</v>
      </c>
      <c r="J173" t="s">
        <v>21</v>
      </c>
    </row>
    <row r="174" spans="1:10" x14ac:dyDescent="0.3">
      <c r="A174" t="s">
        <v>236</v>
      </c>
      <c r="B174" s="2">
        <v>45888</v>
      </c>
      <c r="C174" t="s">
        <v>11</v>
      </c>
      <c r="D174" t="s">
        <v>12</v>
      </c>
      <c r="E174" t="s">
        <v>30</v>
      </c>
      <c r="F174" t="s">
        <v>25</v>
      </c>
      <c r="G174">
        <v>10</v>
      </c>
      <c r="H174" s="3">
        <v>2540</v>
      </c>
      <c r="I174" t="s">
        <v>65</v>
      </c>
      <c r="J174" t="s">
        <v>42</v>
      </c>
    </row>
    <row r="175" spans="1:10" x14ac:dyDescent="0.3">
      <c r="A175" t="s">
        <v>237</v>
      </c>
      <c r="B175" s="2">
        <v>45847</v>
      </c>
      <c r="C175" t="s">
        <v>44</v>
      </c>
      <c r="D175" t="s">
        <v>23</v>
      </c>
      <c r="E175" t="s">
        <v>41</v>
      </c>
      <c r="F175" t="s">
        <v>14</v>
      </c>
      <c r="G175">
        <v>4</v>
      </c>
      <c r="H175" s="3">
        <v>28130</v>
      </c>
      <c r="I175" t="s">
        <v>49</v>
      </c>
      <c r="J175" t="s">
        <v>16</v>
      </c>
    </row>
    <row r="176" spans="1:10" x14ac:dyDescent="0.3">
      <c r="A176" t="s">
        <v>238</v>
      </c>
      <c r="B176" s="2">
        <v>45882</v>
      </c>
      <c r="C176" t="s">
        <v>40</v>
      </c>
      <c r="D176" t="s">
        <v>57</v>
      </c>
      <c r="E176" t="s">
        <v>63</v>
      </c>
      <c r="F176" t="s">
        <v>64</v>
      </c>
      <c r="G176">
        <v>1</v>
      </c>
      <c r="H176" s="3">
        <v>7190</v>
      </c>
      <c r="I176" t="s">
        <v>20</v>
      </c>
      <c r="J176" t="s">
        <v>21</v>
      </c>
    </row>
    <row r="177" spans="1:10" x14ac:dyDescent="0.3">
      <c r="A177" t="s">
        <v>239</v>
      </c>
      <c r="B177" s="2">
        <v>45940</v>
      </c>
      <c r="C177" t="s">
        <v>44</v>
      </c>
      <c r="D177" t="s">
        <v>36</v>
      </c>
      <c r="E177" t="s">
        <v>30</v>
      </c>
      <c r="F177" t="s">
        <v>25</v>
      </c>
      <c r="G177">
        <v>10</v>
      </c>
      <c r="H177" s="3">
        <v>2300</v>
      </c>
      <c r="I177" t="s">
        <v>26</v>
      </c>
      <c r="J177" t="s">
        <v>16</v>
      </c>
    </row>
    <row r="178" spans="1:10" x14ac:dyDescent="0.3">
      <c r="A178" t="s">
        <v>240</v>
      </c>
      <c r="B178" s="2">
        <v>45778</v>
      </c>
      <c r="C178" t="s">
        <v>28</v>
      </c>
      <c r="D178" t="s">
        <v>36</v>
      </c>
      <c r="E178" t="s">
        <v>19</v>
      </c>
      <c r="F178" t="s">
        <v>14</v>
      </c>
      <c r="G178">
        <v>2</v>
      </c>
      <c r="H178" s="3">
        <v>4760</v>
      </c>
      <c r="I178" t="s">
        <v>51</v>
      </c>
      <c r="J178" t="s">
        <v>16</v>
      </c>
    </row>
    <row r="179" spans="1:10" x14ac:dyDescent="0.3">
      <c r="A179" t="s">
        <v>241</v>
      </c>
      <c r="B179" s="2">
        <v>45773</v>
      </c>
      <c r="C179" t="s">
        <v>44</v>
      </c>
      <c r="D179" t="s">
        <v>18</v>
      </c>
      <c r="E179" t="s">
        <v>63</v>
      </c>
      <c r="F179" t="s">
        <v>64</v>
      </c>
      <c r="G179">
        <v>5</v>
      </c>
      <c r="H179" s="3">
        <v>7450</v>
      </c>
      <c r="I179" t="s">
        <v>108</v>
      </c>
      <c r="J179" t="s">
        <v>31</v>
      </c>
    </row>
    <row r="180" spans="1:10" x14ac:dyDescent="0.3">
      <c r="A180" t="s">
        <v>242</v>
      </c>
      <c r="B180" s="2">
        <v>45890</v>
      </c>
      <c r="C180" t="s">
        <v>28</v>
      </c>
      <c r="D180" t="s">
        <v>23</v>
      </c>
      <c r="E180" t="s">
        <v>24</v>
      </c>
      <c r="F180" t="s">
        <v>25</v>
      </c>
      <c r="G180">
        <v>5</v>
      </c>
      <c r="H180" s="3">
        <v>870</v>
      </c>
      <c r="I180" t="s">
        <v>72</v>
      </c>
      <c r="J180" t="s">
        <v>21</v>
      </c>
    </row>
    <row r="181" spans="1:10" x14ac:dyDescent="0.3">
      <c r="A181" t="s">
        <v>243</v>
      </c>
      <c r="B181" s="2">
        <v>45916</v>
      </c>
      <c r="C181" t="s">
        <v>44</v>
      </c>
      <c r="D181" t="s">
        <v>12</v>
      </c>
      <c r="E181" t="s">
        <v>19</v>
      </c>
      <c r="F181" t="s">
        <v>14</v>
      </c>
      <c r="G181">
        <v>1</v>
      </c>
      <c r="H181" s="3">
        <v>4400</v>
      </c>
      <c r="I181" t="s">
        <v>38</v>
      </c>
      <c r="J181" t="s">
        <v>31</v>
      </c>
    </row>
    <row r="182" spans="1:10" x14ac:dyDescent="0.3">
      <c r="A182" t="s">
        <v>244</v>
      </c>
      <c r="B182" s="2">
        <v>46016</v>
      </c>
      <c r="C182" t="s">
        <v>28</v>
      </c>
      <c r="D182" t="s">
        <v>12</v>
      </c>
      <c r="E182" t="s">
        <v>45</v>
      </c>
      <c r="F182" t="s">
        <v>46</v>
      </c>
      <c r="G182">
        <v>2</v>
      </c>
      <c r="H182" s="3">
        <v>10940</v>
      </c>
      <c r="I182" t="s">
        <v>101</v>
      </c>
      <c r="J182" t="s">
        <v>16</v>
      </c>
    </row>
    <row r="183" spans="1:10" x14ac:dyDescent="0.3">
      <c r="A183" t="s">
        <v>245</v>
      </c>
      <c r="B183" s="2">
        <v>45855</v>
      </c>
      <c r="C183" t="s">
        <v>40</v>
      </c>
      <c r="D183" t="s">
        <v>29</v>
      </c>
      <c r="E183" t="s">
        <v>24</v>
      </c>
      <c r="F183" t="s">
        <v>25</v>
      </c>
      <c r="G183">
        <v>1</v>
      </c>
      <c r="H183" s="3">
        <v>750</v>
      </c>
      <c r="I183" t="s">
        <v>15</v>
      </c>
      <c r="J183" t="s">
        <v>42</v>
      </c>
    </row>
    <row r="184" spans="1:10" x14ac:dyDescent="0.3">
      <c r="A184" t="s">
        <v>246</v>
      </c>
      <c r="B184" s="2">
        <v>45794</v>
      </c>
      <c r="C184" t="s">
        <v>28</v>
      </c>
      <c r="D184" t="s">
        <v>23</v>
      </c>
      <c r="E184" t="s">
        <v>37</v>
      </c>
      <c r="F184" t="s">
        <v>14</v>
      </c>
      <c r="G184">
        <v>5</v>
      </c>
      <c r="H184" s="3">
        <v>59370</v>
      </c>
      <c r="I184" t="s">
        <v>69</v>
      </c>
      <c r="J184" t="s">
        <v>31</v>
      </c>
    </row>
    <row r="185" spans="1:10" x14ac:dyDescent="0.3">
      <c r="A185" t="s">
        <v>247</v>
      </c>
      <c r="B185" s="2">
        <v>45975</v>
      </c>
      <c r="C185" t="s">
        <v>44</v>
      </c>
      <c r="D185" t="s">
        <v>18</v>
      </c>
      <c r="E185" t="s">
        <v>41</v>
      </c>
      <c r="F185" t="s">
        <v>14</v>
      </c>
      <c r="G185">
        <v>10</v>
      </c>
      <c r="H185" s="3">
        <v>30210</v>
      </c>
      <c r="I185" t="s">
        <v>94</v>
      </c>
      <c r="J185" t="s">
        <v>21</v>
      </c>
    </row>
    <row r="186" spans="1:10" x14ac:dyDescent="0.3">
      <c r="A186" t="s">
        <v>248</v>
      </c>
      <c r="B186" s="2">
        <v>45822</v>
      </c>
      <c r="C186" t="s">
        <v>44</v>
      </c>
      <c r="D186" t="s">
        <v>12</v>
      </c>
      <c r="E186" t="s">
        <v>63</v>
      </c>
      <c r="F186" t="s">
        <v>64</v>
      </c>
      <c r="G186">
        <v>1</v>
      </c>
      <c r="H186" s="3">
        <v>7160</v>
      </c>
      <c r="I186" t="s">
        <v>38</v>
      </c>
      <c r="J186" t="s">
        <v>21</v>
      </c>
    </row>
    <row r="187" spans="1:10" x14ac:dyDescent="0.3">
      <c r="A187" t="s">
        <v>249</v>
      </c>
      <c r="B187" s="2">
        <v>45882</v>
      </c>
      <c r="C187" t="s">
        <v>44</v>
      </c>
      <c r="D187" t="s">
        <v>57</v>
      </c>
      <c r="E187" t="s">
        <v>13</v>
      </c>
      <c r="F187" t="s">
        <v>14</v>
      </c>
      <c r="G187">
        <v>10</v>
      </c>
      <c r="H187" s="3">
        <v>17380</v>
      </c>
      <c r="I187" t="s">
        <v>94</v>
      </c>
      <c r="J187" t="s">
        <v>16</v>
      </c>
    </row>
    <row r="188" spans="1:10" x14ac:dyDescent="0.3">
      <c r="A188" t="s">
        <v>250</v>
      </c>
      <c r="B188" s="2">
        <v>45964</v>
      </c>
      <c r="C188" t="s">
        <v>40</v>
      </c>
      <c r="D188" t="s">
        <v>29</v>
      </c>
      <c r="E188" t="s">
        <v>13</v>
      </c>
      <c r="F188" t="s">
        <v>14</v>
      </c>
      <c r="G188">
        <v>5</v>
      </c>
      <c r="H188" s="3">
        <v>17110</v>
      </c>
      <c r="I188" t="s">
        <v>81</v>
      </c>
      <c r="J188" t="s">
        <v>31</v>
      </c>
    </row>
    <row r="189" spans="1:10" x14ac:dyDescent="0.3">
      <c r="A189" t="s">
        <v>251</v>
      </c>
      <c r="B189" s="2">
        <v>45891</v>
      </c>
      <c r="C189" t="s">
        <v>11</v>
      </c>
      <c r="D189" t="s">
        <v>57</v>
      </c>
      <c r="E189" t="s">
        <v>19</v>
      </c>
      <c r="F189" t="s">
        <v>14</v>
      </c>
      <c r="G189">
        <v>1</v>
      </c>
      <c r="H189" s="3">
        <v>4120</v>
      </c>
      <c r="I189" t="s">
        <v>81</v>
      </c>
      <c r="J189" t="s">
        <v>21</v>
      </c>
    </row>
    <row r="190" spans="1:10" x14ac:dyDescent="0.3">
      <c r="A190" t="s">
        <v>252</v>
      </c>
      <c r="B190" s="2">
        <v>45829</v>
      </c>
      <c r="C190" t="s">
        <v>11</v>
      </c>
      <c r="D190" t="s">
        <v>23</v>
      </c>
      <c r="E190" t="s">
        <v>37</v>
      </c>
      <c r="F190" t="s">
        <v>14</v>
      </c>
      <c r="G190">
        <v>1</v>
      </c>
      <c r="H190" s="3">
        <v>54950</v>
      </c>
      <c r="I190" t="s">
        <v>72</v>
      </c>
      <c r="J190" t="s">
        <v>42</v>
      </c>
    </row>
    <row r="191" spans="1:10" x14ac:dyDescent="0.3">
      <c r="A191" t="s">
        <v>253</v>
      </c>
      <c r="B191" s="2">
        <v>45809</v>
      </c>
      <c r="C191" t="s">
        <v>11</v>
      </c>
      <c r="D191" t="s">
        <v>29</v>
      </c>
      <c r="E191" t="s">
        <v>33</v>
      </c>
      <c r="F191" t="s">
        <v>25</v>
      </c>
      <c r="G191">
        <v>5</v>
      </c>
      <c r="H191" s="3">
        <v>1550</v>
      </c>
      <c r="I191" t="s">
        <v>69</v>
      </c>
      <c r="J191" t="s">
        <v>21</v>
      </c>
    </row>
    <row r="192" spans="1:10" x14ac:dyDescent="0.3">
      <c r="A192" t="s">
        <v>254</v>
      </c>
      <c r="B192" s="2">
        <v>45972</v>
      </c>
      <c r="C192" t="s">
        <v>11</v>
      </c>
      <c r="D192" t="s">
        <v>36</v>
      </c>
      <c r="E192" t="s">
        <v>37</v>
      </c>
      <c r="F192" t="s">
        <v>14</v>
      </c>
      <c r="G192">
        <v>3</v>
      </c>
      <c r="H192" s="3">
        <v>55230</v>
      </c>
      <c r="I192" t="s">
        <v>53</v>
      </c>
      <c r="J192" t="s">
        <v>16</v>
      </c>
    </row>
    <row r="193" spans="1:10" x14ac:dyDescent="0.3">
      <c r="A193" t="s">
        <v>255</v>
      </c>
      <c r="B193" s="2">
        <v>45817</v>
      </c>
      <c r="C193" t="s">
        <v>11</v>
      </c>
      <c r="D193" t="s">
        <v>29</v>
      </c>
      <c r="E193" t="s">
        <v>41</v>
      </c>
      <c r="F193" t="s">
        <v>14</v>
      </c>
      <c r="G193">
        <v>10</v>
      </c>
      <c r="H193" s="3">
        <v>30410</v>
      </c>
      <c r="I193" t="s">
        <v>51</v>
      </c>
      <c r="J193" t="s">
        <v>31</v>
      </c>
    </row>
    <row r="194" spans="1:10" x14ac:dyDescent="0.3">
      <c r="A194" t="s">
        <v>256</v>
      </c>
      <c r="B194" s="2">
        <v>45753</v>
      </c>
      <c r="C194" t="s">
        <v>40</v>
      </c>
      <c r="D194" t="s">
        <v>12</v>
      </c>
      <c r="E194" t="s">
        <v>79</v>
      </c>
      <c r="F194" t="s">
        <v>64</v>
      </c>
      <c r="G194">
        <v>2</v>
      </c>
      <c r="H194" s="3">
        <v>9690</v>
      </c>
      <c r="I194" t="s">
        <v>72</v>
      </c>
      <c r="J194" t="s">
        <v>16</v>
      </c>
    </row>
    <row r="195" spans="1:10" x14ac:dyDescent="0.3">
      <c r="A195" t="s">
        <v>257</v>
      </c>
      <c r="B195" s="2">
        <v>45890</v>
      </c>
      <c r="C195" t="s">
        <v>28</v>
      </c>
      <c r="D195" t="s">
        <v>18</v>
      </c>
      <c r="E195" t="s">
        <v>79</v>
      </c>
      <c r="F195" t="s">
        <v>64</v>
      </c>
      <c r="G195">
        <v>2</v>
      </c>
      <c r="H195" s="3">
        <v>9440</v>
      </c>
      <c r="I195" t="s">
        <v>55</v>
      </c>
      <c r="J195" t="s">
        <v>42</v>
      </c>
    </row>
    <row r="196" spans="1:10" x14ac:dyDescent="0.3">
      <c r="A196" t="s">
        <v>258</v>
      </c>
      <c r="B196" s="2">
        <v>45837</v>
      </c>
      <c r="C196" t="s">
        <v>40</v>
      </c>
      <c r="D196" t="s">
        <v>29</v>
      </c>
      <c r="E196" t="s">
        <v>79</v>
      </c>
      <c r="F196" t="s">
        <v>64</v>
      </c>
      <c r="G196">
        <v>1</v>
      </c>
      <c r="H196" s="3">
        <v>8620</v>
      </c>
      <c r="I196" t="s">
        <v>49</v>
      </c>
      <c r="J196" t="s">
        <v>21</v>
      </c>
    </row>
    <row r="197" spans="1:10" x14ac:dyDescent="0.3">
      <c r="A197" t="s">
        <v>259</v>
      </c>
      <c r="B197" s="2">
        <v>45770</v>
      </c>
      <c r="C197" t="s">
        <v>11</v>
      </c>
      <c r="D197" t="s">
        <v>57</v>
      </c>
      <c r="E197" t="s">
        <v>37</v>
      </c>
      <c r="F197" t="s">
        <v>14</v>
      </c>
      <c r="G197">
        <v>5</v>
      </c>
      <c r="H197" s="3">
        <v>52360</v>
      </c>
      <c r="I197" t="s">
        <v>38</v>
      </c>
      <c r="J197" t="s">
        <v>31</v>
      </c>
    </row>
    <row r="198" spans="1:10" x14ac:dyDescent="0.3">
      <c r="A198" t="s">
        <v>260</v>
      </c>
      <c r="B198" s="2">
        <v>45975</v>
      </c>
      <c r="C198" t="s">
        <v>40</v>
      </c>
      <c r="D198" t="s">
        <v>12</v>
      </c>
      <c r="E198" t="s">
        <v>45</v>
      </c>
      <c r="F198" t="s">
        <v>46</v>
      </c>
      <c r="G198">
        <v>1</v>
      </c>
      <c r="H198" s="3">
        <v>12630</v>
      </c>
      <c r="I198" t="s">
        <v>141</v>
      </c>
      <c r="J198" t="s">
        <v>16</v>
      </c>
    </row>
    <row r="199" spans="1:10" x14ac:dyDescent="0.3">
      <c r="A199" t="s">
        <v>261</v>
      </c>
      <c r="B199" s="2">
        <v>45709</v>
      </c>
      <c r="C199" t="s">
        <v>11</v>
      </c>
      <c r="D199" t="s">
        <v>36</v>
      </c>
      <c r="E199" t="s">
        <v>30</v>
      </c>
      <c r="F199" t="s">
        <v>25</v>
      </c>
      <c r="G199">
        <v>3</v>
      </c>
      <c r="H199" s="3">
        <v>2720</v>
      </c>
      <c r="I199" t="s">
        <v>15</v>
      </c>
      <c r="J199" t="s">
        <v>31</v>
      </c>
    </row>
    <row r="200" spans="1:10" x14ac:dyDescent="0.3">
      <c r="A200" t="s">
        <v>262</v>
      </c>
      <c r="B200" s="2">
        <v>45925</v>
      </c>
      <c r="C200" t="s">
        <v>40</v>
      </c>
      <c r="D200" t="s">
        <v>12</v>
      </c>
      <c r="E200" t="s">
        <v>37</v>
      </c>
      <c r="F200" t="s">
        <v>14</v>
      </c>
      <c r="G200">
        <v>3</v>
      </c>
      <c r="H200" s="3">
        <v>57290</v>
      </c>
      <c r="I200" t="s">
        <v>15</v>
      </c>
      <c r="J200" t="s">
        <v>42</v>
      </c>
    </row>
    <row r="201" spans="1:10" x14ac:dyDescent="0.3">
      <c r="A201" t="s">
        <v>263</v>
      </c>
      <c r="B201" s="2">
        <v>45952</v>
      </c>
      <c r="C201" t="s">
        <v>11</v>
      </c>
      <c r="D201" t="s">
        <v>57</v>
      </c>
      <c r="E201" t="s">
        <v>24</v>
      </c>
      <c r="F201" t="s">
        <v>25</v>
      </c>
      <c r="G201">
        <v>1</v>
      </c>
      <c r="H201" s="3">
        <v>820</v>
      </c>
      <c r="I201" t="s">
        <v>94</v>
      </c>
      <c r="J201" t="s">
        <v>21</v>
      </c>
    </row>
    <row r="202" spans="1:10" x14ac:dyDescent="0.3">
      <c r="A202" t="s">
        <v>264</v>
      </c>
      <c r="B202" s="2">
        <v>45770</v>
      </c>
      <c r="C202" t="s">
        <v>28</v>
      </c>
      <c r="D202" t="s">
        <v>18</v>
      </c>
      <c r="E202" t="s">
        <v>45</v>
      </c>
      <c r="F202" t="s">
        <v>46</v>
      </c>
      <c r="G202">
        <v>1</v>
      </c>
      <c r="H202" s="3">
        <v>11410</v>
      </c>
      <c r="I202" t="s">
        <v>265</v>
      </c>
      <c r="J202" t="s">
        <v>42</v>
      </c>
    </row>
    <row r="203" spans="1:10" x14ac:dyDescent="0.3">
      <c r="A203" t="s">
        <v>266</v>
      </c>
      <c r="B203" s="2">
        <v>45758</v>
      </c>
      <c r="C203" t="s">
        <v>44</v>
      </c>
      <c r="D203" t="s">
        <v>12</v>
      </c>
      <c r="E203" t="s">
        <v>13</v>
      </c>
      <c r="F203" t="s">
        <v>14</v>
      </c>
      <c r="G203">
        <v>2</v>
      </c>
      <c r="H203" s="3">
        <v>17730</v>
      </c>
      <c r="I203" t="s">
        <v>108</v>
      </c>
      <c r="J203" t="s">
        <v>16</v>
      </c>
    </row>
    <row r="204" spans="1:10" x14ac:dyDescent="0.3">
      <c r="A204" t="s">
        <v>267</v>
      </c>
      <c r="B204" s="2">
        <v>45770</v>
      </c>
      <c r="C204" t="s">
        <v>28</v>
      </c>
      <c r="D204" t="s">
        <v>23</v>
      </c>
      <c r="E204" t="s">
        <v>79</v>
      </c>
      <c r="F204" t="s">
        <v>64</v>
      </c>
      <c r="G204">
        <v>2</v>
      </c>
      <c r="H204" s="3">
        <v>9610</v>
      </c>
      <c r="I204" t="s">
        <v>34</v>
      </c>
      <c r="J204" t="s">
        <v>42</v>
      </c>
    </row>
    <row r="205" spans="1:10" x14ac:dyDescent="0.3">
      <c r="A205" t="s">
        <v>268</v>
      </c>
      <c r="B205" s="2">
        <v>45738</v>
      </c>
      <c r="C205" t="s">
        <v>11</v>
      </c>
      <c r="D205" t="s">
        <v>36</v>
      </c>
      <c r="E205" t="s">
        <v>33</v>
      </c>
      <c r="F205" t="s">
        <v>25</v>
      </c>
      <c r="G205">
        <v>1</v>
      </c>
      <c r="H205" s="3">
        <v>1640</v>
      </c>
      <c r="I205" t="s">
        <v>77</v>
      </c>
      <c r="J205" t="s">
        <v>31</v>
      </c>
    </row>
    <row r="206" spans="1:10" x14ac:dyDescent="0.3">
      <c r="A206" t="s">
        <v>269</v>
      </c>
      <c r="B206" s="2">
        <v>45844</v>
      </c>
      <c r="C206" t="s">
        <v>44</v>
      </c>
      <c r="D206" t="s">
        <v>57</v>
      </c>
      <c r="E206" t="s">
        <v>30</v>
      </c>
      <c r="F206" t="s">
        <v>25</v>
      </c>
      <c r="G206">
        <v>2</v>
      </c>
      <c r="H206" s="3">
        <v>2450</v>
      </c>
      <c r="I206" t="s">
        <v>38</v>
      </c>
      <c r="J206" t="s">
        <v>16</v>
      </c>
    </row>
    <row r="207" spans="1:10" x14ac:dyDescent="0.3">
      <c r="A207" t="s">
        <v>270</v>
      </c>
      <c r="B207" s="2">
        <v>45770</v>
      </c>
      <c r="C207" t="s">
        <v>44</v>
      </c>
      <c r="D207" t="s">
        <v>29</v>
      </c>
      <c r="E207" t="s">
        <v>37</v>
      </c>
      <c r="F207" t="s">
        <v>14</v>
      </c>
      <c r="G207">
        <v>3</v>
      </c>
      <c r="H207" s="3">
        <v>52030</v>
      </c>
      <c r="I207" t="s">
        <v>49</v>
      </c>
      <c r="J207" t="s">
        <v>21</v>
      </c>
    </row>
    <row r="208" spans="1:10" x14ac:dyDescent="0.3">
      <c r="A208" t="s">
        <v>271</v>
      </c>
      <c r="B208" s="2">
        <v>45659</v>
      </c>
      <c r="C208" t="s">
        <v>11</v>
      </c>
      <c r="D208" t="s">
        <v>29</v>
      </c>
      <c r="E208" t="s">
        <v>63</v>
      </c>
      <c r="F208" t="s">
        <v>64</v>
      </c>
      <c r="G208">
        <v>1</v>
      </c>
      <c r="H208" s="3">
        <v>8050</v>
      </c>
      <c r="I208" t="s">
        <v>75</v>
      </c>
      <c r="J208" t="s">
        <v>31</v>
      </c>
    </row>
    <row r="209" spans="1:10" x14ac:dyDescent="0.3">
      <c r="A209" t="s">
        <v>272</v>
      </c>
      <c r="B209" s="2">
        <v>45787</v>
      </c>
      <c r="C209" t="s">
        <v>11</v>
      </c>
      <c r="D209" t="s">
        <v>29</v>
      </c>
      <c r="E209" t="s">
        <v>41</v>
      </c>
      <c r="F209" t="s">
        <v>14</v>
      </c>
      <c r="G209">
        <v>1</v>
      </c>
      <c r="H209" s="3">
        <v>25710</v>
      </c>
      <c r="I209" t="s">
        <v>58</v>
      </c>
      <c r="J209" t="s">
        <v>42</v>
      </c>
    </row>
    <row r="210" spans="1:10" x14ac:dyDescent="0.3">
      <c r="A210" t="s">
        <v>273</v>
      </c>
      <c r="B210" s="2">
        <v>45877</v>
      </c>
      <c r="C210" t="s">
        <v>11</v>
      </c>
      <c r="D210" t="s">
        <v>36</v>
      </c>
      <c r="E210" t="s">
        <v>24</v>
      </c>
      <c r="F210" t="s">
        <v>25</v>
      </c>
      <c r="G210">
        <v>4</v>
      </c>
      <c r="H210" s="3">
        <v>820</v>
      </c>
      <c r="I210" t="s">
        <v>38</v>
      </c>
      <c r="J210" t="s">
        <v>31</v>
      </c>
    </row>
    <row r="211" spans="1:10" x14ac:dyDescent="0.3">
      <c r="A211" t="s">
        <v>274</v>
      </c>
      <c r="B211" s="2">
        <v>45711</v>
      </c>
      <c r="C211" t="s">
        <v>11</v>
      </c>
      <c r="D211" t="s">
        <v>36</v>
      </c>
      <c r="E211" t="s">
        <v>41</v>
      </c>
      <c r="F211" t="s">
        <v>14</v>
      </c>
      <c r="G211">
        <v>4</v>
      </c>
      <c r="H211" s="3">
        <v>25900</v>
      </c>
      <c r="I211" t="s">
        <v>55</v>
      </c>
      <c r="J211" t="s">
        <v>21</v>
      </c>
    </row>
    <row r="212" spans="1:10" x14ac:dyDescent="0.3">
      <c r="A212" t="s">
        <v>275</v>
      </c>
      <c r="B212" s="2">
        <v>46000</v>
      </c>
      <c r="C212" t="s">
        <v>40</v>
      </c>
      <c r="D212" t="s">
        <v>23</v>
      </c>
      <c r="E212" t="s">
        <v>45</v>
      </c>
      <c r="F212" t="s">
        <v>46</v>
      </c>
      <c r="G212">
        <v>10</v>
      </c>
      <c r="H212" s="3">
        <v>11190</v>
      </c>
      <c r="I212" t="s">
        <v>141</v>
      </c>
      <c r="J212" t="s">
        <v>31</v>
      </c>
    </row>
    <row r="213" spans="1:10" x14ac:dyDescent="0.3">
      <c r="A213" t="s">
        <v>276</v>
      </c>
      <c r="B213" s="2">
        <v>45881</v>
      </c>
      <c r="C213" t="s">
        <v>40</v>
      </c>
      <c r="D213" t="s">
        <v>23</v>
      </c>
      <c r="E213" t="s">
        <v>63</v>
      </c>
      <c r="F213" t="s">
        <v>64</v>
      </c>
      <c r="G213">
        <v>1</v>
      </c>
      <c r="H213" s="3">
        <v>6770</v>
      </c>
      <c r="I213" t="s">
        <v>15</v>
      </c>
      <c r="J213" t="s">
        <v>42</v>
      </c>
    </row>
    <row r="214" spans="1:10" x14ac:dyDescent="0.3">
      <c r="A214" t="s">
        <v>277</v>
      </c>
      <c r="B214" s="2">
        <v>45882</v>
      </c>
      <c r="C214" t="s">
        <v>40</v>
      </c>
      <c r="D214" t="s">
        <v>12</v>
      </c>
      <c r="E214" t="s">
        <v>45</v>
      </c>
      <c r="F214" t="s">
        <v>46</v>
      </c>
      <c r="G214">
        <v>10</v>
      </c>
      <c r="H214" s="3">
        <v>12860</v>
      </c>
      <c r="I214" t="s">
        <v>75</v>
      </c>
      <c r="J214" t="s">
        <v>16</v>
      </c>
    </row>
    <row r="215" spans="1:10" x14ac:dyDescent="0.3">
      <c r="A215" t="s">
        <v>278</v>
      </c>
      <c r="B215" s="2">
        <v>45783</v>
      </c>
      <c r="C215" t="s">
        <v>44</v>
      </c>
      <c r="D215" t="s">
        <v>36</v>
      </c>
      <c r="E215" t="s">
        <v>45</v>
      </c>
      <c r="F215" t="s">
        <v>46</v>
      </c>
      <c r="G215">
        <v>1</v>
      </c>
      <c r="H215" s="3">
        <v>11050</v>
      </c>
      <c r="I215" t="s">
        <v>58</v>
      </c>
      <c r="J215" t="s">
        <v>31</v>
      </c>
    </row>
    <row r="216" spans="1:10" x14ac:dyDescent="0.3">
      <c r="A216" t="s">
        <v>279</v>
      </c>
      <c r="B216" s="2">
        <v>45787</v>
      </c>
      <c r="C216" t="s">
        <v>44</v>
      </c>
      <c r="D216" t="s">
        <v>18</v>
      </c>
      <c r="E216" t="s">
        <v>45</v>
      </c>
      <c r="F216" t="s">
        <v>46</v>
      </c>
      <c r="G216">
        <v>3</v>
      </c>
      <c r="H216" s="3">
        <v>11300</v>
      </c>
      <c r="I216" t="s">
        <v>75</v>
      </c>
      <c r="J216" t="s">
        <v>31</v>
      </c>
    </row>
    <row r="217" spans="1:10" x14ac:dyDescent="0.3">
      <c r="A217" t="s">
        <v>280</v>
      </c>
      <c r="B217" s="2">
        <v>45710</v>
      </c>
      <c r="C217" t="s">
        <v>44</v>
      </c>
      <c r="D217" t="s">
        <v>12</v>
      </c>
      <c r="E217" t="s">
        <v>13</v>
      </c>
      <c r="F217" t="s">
        <v>14</v>
      </c>
      <c r="G217">
        <v>1</v>
      </c>
      <c r="H217" s="3">
        <v>18060</v>
      </c>
      <c r="I217" t="s">
        <v>69</v>
      </c>
      <c r="J217" t="s">
        <v>42</v>
      </c>
    </row>
    <row r="218" spans="1:10" x14ac:dyDescent="0.3">
      <c r="A218" t="s">
        <v>281</v>
      </c>
      <c r="B218" s="2">
        <v>45829</v>
      </c>
      <c r="C218" t="s">
        <v>28</v>
      </c>
      <c r="D218" t="s">
        <v>18</v>
      </c>
      <c r="E218" t="s">
        <v>37</v>
      </c>
      <c r="F218" t="s">
        <v>14</v>
      </c>
      <c r="G218">
        <v>2</v>
      </c>
      <c r="H218" s="3">
        <v>53440</v>
      </c>
      <c r="I218" t="s">
        <v>51</v>
      </c>
      <c r="J218" t="s">
        <v>16</v>
      </c>
    </row>
    <row r="219" spans="1:10" x14ac:dyDescent="0.3">
      <c r="A219" t="s">
        <v>282</v>
      </c>
      <c r="B219" s="2">
        <v>45875</v>
      </c>
      <c r="C219" t="s">
        <v>40</v>
      </c>
      <c r="D219" t="s">
        <v>36</v>
      </c>
      <c r="E219" t="s">
        <v>19</v>
      </c>
      <c r="F219" t="s">
        <v>14</v>
      </c>
      <c r="G219">
        <v>1</v>
      </c>
      <c r="H219" s="3">
        <v>4790</v>
      </c>
      <c r="I219" t="s">
        <v>49</v>
      </c>
      <c r="J219" t="s">
        <v>31</v>
      </c>
    </row>
    <row r="220" spans="1:10" x14ac:dyDescent="0.3">
      <c r="A220" t="s">
        <v>283</v>
      </c>
      <c r="B220" s="2">
        <v>45817</v>
      </c>
      <c r="C220" t="s">
        <v>44</v>
      </c>
      <c r="D220" t="s">
        <v>12</v>
      </c>
      <c r="E220" t="s">
        <v>33</v>
      </c>
      <c r="F220" t="s">
        <v>25</v>
      </c>
      <c r="G220">
        <v>3</v>
      </c>
      <c r="H220" s="3">
        <v>1530</v>
      </c>
      <c r="I220" t="s">
        <v>15</v>
      </c>
      <c r="J220" t="s">
        <v>31</v>
      </c>
    </row>
    <row r="221" spans="1:10" x14ac:dyDescent="0.3">
      <c r="A221" t="s">
        <v>284</v>
      </c>
      <c r="B221" s="2">
        <v>45855</v>
      </c>
      <c r="C221" t="s">
        <v>40</v>
      </c>
      <c r="D221" t="s">
        <v>36</v>
      </c>
      <c r="E221" t="s">
        <v>63</v>
      </c>
      <c r="F221" t="s">
        <v>64</v>
      </c>
      <c r="G221">
        <v>5</v>
      </c>
      <c r="H221" s="3">
        <v>7820</v>
      </c>
      <c r="I221" t="s">
        <v>77</v>
      </c>
      <c r="J221" t="s">
        <v>16</v>
      </c>
    </row>
    <row r="222" spans="1:10" x14ac:dyDescent="0.3">
      <c r="A222" t="s">
        <v>285</v>
      </c>
      <c r="B222" s="2">
        <v>45904</v>
      </c>
      <c r="C222" t="s">
        <v>40</v>
      </c>
      <c r="D222" t="s">
        <v>18</v>
      </c>
      <c r="E222" t="s">
        <v>79</v>
      </c>
      <c r="F222" t="s">
        <v>64</v>
      </c>
      <c r="G222">
        <v>2</v>
      </c>
      <c r="H222" s="3">
        <v>9100</v>
      </c>
      <c r="I222" t="s">
        <v>38</v>
      </c>
      <c r="J222" t="s">
        <v>16</v>
      </c>
    </row>
    <row r="223" spans="1:10" x14ac:dyDescent="0.3">
      <c r="A223" t="s">
        <v>286</v>
      </c>
      <c r="B223" s="2">
        <v>45981</v>
      </c>
      <c r="C223" t="s">
        <v>28</v>
      </c>
      <c r="D223" t="s">
        <v>36</v>
      </c>
      <c r="E223" t="s">
        <v>41</v>
      </c>
      <c r="F223" t="s">
        <v>14</v>
      </c>
      <c r="G223">
        <v>1</v>
      </c>
      <c r="H223" s="3">
        <v>25540</v>
      </c>
      <c r="I223" t="s">
        <v>69</v>
      </c>
      <c r="J223" t="s">
        <v>21</v>
      </c>
    </row>
    <row r="224" spans="1:10" x14ac:dyDescent="0.3">
      <c r="A224" t="s">
        <v>287</v>
      </c>
      <c r="B224" s="2">
        <v>45860</v>
      </c>
      <c r="C224" t="s">
        <v>11</v>
      </c>
      <c r="D224" t="s">
        <v>57</v>
      </c>
      <c r="E224" t="s">
        <v>33</v>
      </c>
      <c r="F224" t="s">
        <v>25</v>
      </c>
      <c r="G224">
        <v>1</v>
      </c>
      <c r="H224" s="3">
        <v>1640</v>
      </c>
      <c r="I224" t="s">
        <v>75</v>
      </c>
      <c r="J224" t="s">
        <v>21</v>
      </c>
    </row>
    <row r="225" spans="1:10" x14ac:dyDescent="0.3">
      <c r="A225" t="s">
        <v>288</v>
      </c>
      <c r="B225" s="2">
        <v>45841</v>
      </c>
      <c r="C225" t="s">
        <v>28</v>
      </c>
      <c r="D225" t="s">
        <v>36</v>
      </c>
      <c r="E225" t="s">
        <v>79</v>
      </c>
      <c r="F225" t="s">
        <v>64</v>
      </c>
      <c r="G225">
        <v>2</v>
      </c>
      <c r="H225" s="3">
        <v>9290</v>
      </c>
      <c r="I225" t="s">
        <v>15</v>
      </c>
      <c r="J225" t="s">
        <v>42</v>
      </c>
    </row>
    <row r="226" spans="1:10" x14ac:dyDescent="0.3">
      <c r="A226" t="s">
        <v>289</v>
      </c>
      <c r="B226" s="2">
        <v>45780</v>
      </c>
      <c r="C226" t="s">
        <v>11</v>
      </c>
      <c r="D226" t="s">
        <v>12</v>
      </c>
      <c r="E226" t="s">
        <v>13</v>
      </c>
      <c r="F226" t="s">
        <v>14</v>
      </c>
      <c r="G226">
        <v>1</v>
      </c>
      <c r="H226" s="3">
        <v>17020</v>
      </c>
      <c r="I226" t="s">
        <v>38</v>
      </c>
      <c r="J226" t="s">
        <v>31</v>
      </c>
    </row>
    <row r="227" spans="1:10" x14ac:dyDescent="0.3">
      <c r="A227" t="s">
        <v>290</v>
      </c>
      <c r="B227" s="2">
        <v>45912</v>
      </c>
      <c r="C227" t="s">
        <v>44</v>
      </c>
      <c r="D227" t="s">
        <v>23</v>
      </c>
      <c r="E227" t="s">
        <v>19</v>
      </c>
      <c r="F227" t="s">
        <v>14</v>
      </c>
      <c r="G227">
        <v>1</v>
      </c>
      <c r="H227" s="3">
        <v>4660</v>
      </c>
      <c r="I227" t="s">
        <v>77</v>
      </c>
      <c r="J227" t="s">
        <v>21</v>
      </c>
    </row>
    <row r="228" spans="1:10" x14ac:dyDescent="0.3">
      <c r="A228" t="s">
        <v>291</v>
      </c>
      <c r="B228" s="2">
        <v>45951</v>
      </c>
      <c r="C228" t="s">
        <v>28</v>
      </c>
      <c r="D228" t="s">
        <v>18</v>
      </c>
      <c r="E228" t="s">
        <v>79</v>
      </c>
      <c r="F228" t="s">
        <v>64</v>
      </c>
      <c r="G228">
        <v>1</v>
      </c>
      <c r="H228" s="3">
        <v>9660</v>
      </c>
      <c r="I228" t="s">
        <v>34</v>
      </c>
      <c r="J228" t="s">
        <v>21</v>
      </c>
    </row>
    <row r="229" spans="1:10" x14ac:dyDescent="0.3">
      <c r="A229" t="s">
        <v>292</v>
      </c>
      <c r="B229" s="2">
        <v>45937</v>
      </c>
      <c r="C229" t="s">
        <v>40</v>
      </c>
      <c r="D229" t="s">
        <v>12</v>
      </c>
      <c r="E229" t="s">
        <v>24</v>
      </c>
      <c r="F229" t="s">
        <v>25</v>
      </c>
      <c r="G229">
        <v>2</v>
      </c>
      <c r="H229" s="3">
        <v>800</v>
      </c>
      <c r="I229" t="s">
        <v>72</v>
      </c>
      <c r="J229" t="s">
        <v>31</v>
      </c>
    </row>
    <row r="230" spans="1:10" x14ac:dyDescent="0.3">
      <c r="A230" t="s">
        <v>293</v>
      </c>
      <c r="B230" s="2">
        <v>45982</v>
      </c>
      <c r="C230" t="s">
        <v>40</v>
      </c>
      <c r="D230" t="s">
        <v>36</v>
      </c>
      <c r="E230" t="s">
        <v>41</v>
      </c>
      <c r="F230" t="s">
        <v>14</v>
      </c>
      <c r="G230">
        <v>2</v>
      </c>
      <c r="H230" s="3">
        <v>25360</v>
      </c>
      <c r="I230" t="s">
        <v>141</v>
      </c>
      <c r="J230" t="s">
        <v>16</v>
      </c>
    </row>
    <row r="231" spans="1:10" x14ac:dyDescent="0.3">
      <c r="A231" t="s">
        <v>294</v>
      </c>
      <c r="B231" s="2">
        <v>45755</v>
      </c>
      <c r="C231" t="s">
        <v>40</v>
      </c>
      <c r="D231" t="s">
        <v>29</v>
      </c>
      <c r="E231" t="s">
        <v>13</v>
      </c>
      <c r="F231" t="s">
        <v>14</v>
      </c>
      <c r="G231">
        <v>2</v>
      </c>
      <c r="H231" s="3">
        <v>17720</v>
      </c>
      <c r="I231" t="s">
        <v>72</v>
      </c>
      <c r="J231" t="s">
        <v>42</v>
      </c>
    </row>
    <row r="232" spans="1:10" x14ac:dyDescent="0.3">
      <c r="A232" t="s">
        <v>295</v>
      </c>
      <c r="B232" s="2">
        <v>45855</v>
      </c>
      <c r="C232" t="s">
        <v>11</v>
      </c>
      <c r="D232" t="s">
        <v>57</v>
      </c>
      <c r="E232" t="s">
        <v>45</v>
      </c>
      <c r="F232" t="s">
        <v>46</v>
      </c>
      <c r="G232">
        <v>1</v>
      </c>
      <c r="H232" s="3">
        <v>12300</v>
      </c>
      <c r="I232" t="s">
        <v>77</v>
      </c>
      <c r="J232" t="s">
        <v>21</v>
      </c>
    </row>
    <row r="233" spans="1:10" x14ac:dyDescent="0.3">
      <c r="A233" t="s">
        <v>296</v>
      </c>
      <c r="B233" s="2">
        <v>45897</v>
      </c>
      <c r="C233" t="s">
        <v>40</v>
      </c>
      <c r="D233" t="s">
        <v>18</v>
      </c>
      <c r="E233" t="s">
        <v>33</v>
      </c>
      <c r="F233" t="s">
        <v>25</v>
      </c>
      <c r="G233">
        <v>5</v>
      </c>
      <c r="H233" s="3">
        <v>1470</v>
      </c>
      <c r="I233" t="s">
        <v>26</v>
      </c>
      <c r="J233" t="s">
        <v>42</v>
      </c>
    </row>
    <row r="234" spans="1:10" x14ac:dyDescent="0.3">
      <c r="A234" t="s">
        <v>297</v>
      </c>
      <c r="B234" s="2">
        <v>45801</v>
      </c>
      <c r="C234" t="s">
        <v>40</v>
      </c>
      <c r="D234" t="s">
        <v>57</v>
      </c>
      <c r="E234" t="s">
        <v>13</v>
      </c>
      <c r="F234" t="s">
        <v>14</v>
      </c>
      <c r="G234">
        <v>4</v>
      </c>
      <c r="H234" s="3">
        <v>17690</v>
      </c>
      <c r="I234" t="s">
        <v>101</v>
      </c>
      <c r="J234" t="s">
        <v>42</v>
      </c>
    </row>
    <row r="235" spans="1:10" x14ac:dyDescent="0.3">
      <c r="A235" t="s">
        <v>298</v>
      </c>
      <c r="B235" s="2">
        <v>45754</v>
      </c>
      <c r="C235" t="s">
        <v>11</v>
      </c>
      <c r="D235" t="s">
        <v>18</v>
      </c>
      <c r="E235" t="s">
        <v>45</v>
      </c>
      <c r="F235" t="s">
        <v>46</v>
      </c>
      <c r="G235">
        <v>5</v>
      </c>
      <c r="H235" s="3">
        <v>12190</v>
      </c>
      <c r="I235" t="s">
        <v>108</v>
      </c>
      <c r="J235" t="s">
        <v>42</v>
      </c>
    </row>
    <row r="236" spans="1:10" x14ac:dyDescent="0.3">
      <c r="A236" t="s">
        <v>299</v>
      </c>
      <c r="B236" s="2">
        <v>45858</v>
      </c>
      <c r="C236" t="s">
        <v>40</v>
      </c>
      <c r="D236" t="s">
        <v>29</v>
      </c>
      <c r="E236" t="s">
        <v>37</v>
      </c>
      <c r="F236" t="s">
        <v>14</v>
      </c>
      <c r="G236">
        <v>10</v>
      </c>
      <c r="H236" s="3">
        <v>60160</v>
      </c>
      <c r="I236" t="s">
        <v>81</v>
      </c>
      <c r="J236" t="s">
        <v>21</v>
      </c>
    </row>
    <row r="237" spans="1:10" x14ac:dyDescent="0.3">
      <c r="A237" t="s">
        <v>300</v>
      </c>
      <c r="B237" s="2">
        <v>45781</v>
      </c>
      <c r="C237" t="s">
        <v>11</v>
      </c>
      <c r="D237" t="s">
        <v>57</v>
      </c>
      <c r="E237" t="s">
        <v>37</v>
      </c>
      <c r="F237" t="s">
        <v>14</v>
      </c>
      <c r="G237">
        <v>5</v>
      </c>
      <c r="H237" s="3">
        <v>56090</v>
      </c>
      <c r="I237" t="s">
        <v>77</v>
      </c>
      <c r="J237" t="s">
        <v>16</v>
      </c>
    </row>
    <row r="238" spans="1:10" x14ac:dyDescent="0.3">
      <c r="A238" t="s">
        <v>301</v>
      </c>
      <c r="B238" s="2">
        <v>45844</v>
      </c>
      <c r="C238" t="s">
        <v>11</v>
      </c>
      <c r="D238" t="s">
        <v>18</v>
      </c>
      <c r="E238" t="s">
        <v>19</v>
      </c>
      <c r="F238" t="s">
        <v>14</v>
      </c>
      <c r="G238">
        <v>1</v>
      </c>
      <c r="H238" s="3">
        <v>4450</v>
      </c>
      <c r="I238" t="s">
        <v>65</v>
      </c>
      <c r="J238" t="s">
        <v>31</v>
      </c>
    </row>
    <row r="239" spans="1:10" x14ac:dyDescent="0.3">
      <c r="A239" t="s">
        <v>302</v>
      </c>
      <c r="B239" s="2">
        <v>45983</v>
      </c>
      <c r="C239" t="s">
        <v>11</v>
      </c>
      <c r="D239" t="s">
        <v>29</v>
      </c>
      <c r="E239" t="s">
        <v>41</v>
      </c>
      <c r="F239" t="s">
        <v>14</v>
      </c>
      <c r="G239">
        <v>1</v>
      </c>
      <c r="H239" s="3">
        <v>27720</v>
      </c>
      <c r="I239" t="s">
        <v>26</v>
      </c>
      <c r="J239" t="s">
        <v>21</v>
      </c>
    </row>
    <row r="240" spans="1:10" x14ac:dyDescent="0.3">
      <c r="A240" t="s">
        <v>303</v>
      </c>
      <c r="B240" s="2">
        <v>46006</v>
      </c>
      <c r="C240" t="s">
        <v>44</v>
      </c>
      <c r="D240" t="s">
        <v>29</v>
      </c>
      <c r="E240" t="s">
        <v>41</v>
      </c>
      <c r="F240" t="s">
        <v>14</v>
      </c>
      <c r="G240">
        <v>3</v>
      </c>
      <c r="H240" s="3">
        <v>26140</v>
      </c>
      <c r="I240" t="s">
        <v>81</v>
      </c>
      <c r="J240" t="s">
        <v>16</v>
      </c>
    </row>
    <row r="241" spans="1:10" x14ac:dyDescent="0.3">
      <c r="A241" t="s">
        <v>304</v>
      </c>
      <c r="B241" s="2">
        <v>45916</v>
      </c>
      <c r="C241" t="s">
        <v>11</v>
      </c>
      <c r="D241" t="s">
        <v>36</v>
      </c>
      <c r="E241" t="s">
        <v>30</v>
      </c>
      <c r="F241" t="s">
        <v>25</v>
      </c>
      <c r="G241">
        <v>2</v>
      </c>
      <c r="H241" s="3">
        <v>2640</v>
      </c>
      <c r="I241" t="s">
        <v>77</v>
      </c>
      <c r="J241" t="s">
        <v>16</v>
      </c>
    </row>
    <row r="242" spans="1:10" x14ac:dyDescent="0.3">
      <c r="A242" t="s">
        <v>305</v>
      </c>
      <c r="B242" s="2">
        <v>45805</v>
      </c>
      <c r="C242" t="s">
        <v>40</v>
      </c>
      <c r="D242" t="s">
        <v>12</v>
      </c>
      <c r="E242" t="s">
        <v>45</v>
      </c>
      <c r="F242" t="s">
        <v>46</v>
      </c>
      <c r="G242">
        <v>2</v>
      </c>
      <c r="H242" s="3">
        <v>11450</v>
      </c>
      <c r="I242" t="s">
        <v>81</v>
      </c>
      <c r="J242" t="s">
        <v>31</v>
      </c>
    </row>
    <row r="243" spans="1:10" x14ac:dyDescent="0.3">
      <c r="A243" t="s">
        <v>306</v>
      </c>
      <c r="B243" s="2">
        <v>45909</v>
      </c>
      <c r="C243" t="s">
        <v>40</v>
      </c>
      <c r="D243" t="s">
        <v>57</v>
      </c>
      <c r="E243" t="s">
        <v>19</v>
      </c>
      <c r="F243" t="s">
        <v>14</v>
      </c>
      <c r="G243">
        <v>1</v>
      </c>
      <c r="H243" s="3">
        <v>4160</v>
      </c>
      <c r="I243" t="s">
        <v>81</v>
      </c>
      <c r="J243" t="s">
        <v>21</v>
      </c>
    </row>
    <row r="244" spans="1:10" x14ac:dyDescent="0.3">
      <c r="A244" t="s">
        <v>307</v>
      </c>
      <c r="B244" s="2">
        <v>46003</v>
      </c>
      <c r="C244" t="s">
        <v>40</v>
      </c>
      <c r="D244" t="s">
        <v>36</v>
      </c>
      <c r="E244" t="s">
        <v>37</v>
      </c>
      <c r="F244" t="s">
        <v>14</v>
      </c>
      <c r="G244">
        <v>1</v>
      </c>
      <c r="H244" s="3">
        <v>49960</v>
      </c>
      <c r="I244" t="s">
        <v>15</v>
      </c>
      <c r="J244" t="s">
        <v>31</v>
      </c>
    </row>
    <row r="245" spans="1:10" x14ac:dyDescent="0.3">
      <c r="A245" t="s">
        <v>308</v>
      </c>
      <c r="B245" s="2">
        <v>45804</v>
      </c>
      <c r="C245" t="s">
        <v>44</v>
      </c>
      <c r="D245" t="s">
        <v>29</v>
      </c>
      <c r="E245" t="s">
        <v>13</v>
      </c>
      <c r="F245" t="s">
        <v>14</v>
      </c>
      <c r="G245">
        <v>10</v>
      </c>
      <c r="H245" s="3">
        <v>18500</v>
      </c>
      <c r="I245" t="s">
        <v>15</v>
      </c>
      <c r="J245" t="s">
        <v>16</v>
      </c>
    </row>
    <row r="246" spans="1:10" x14ac:dyDescent="0.3">
      <c r="A246" t="s">
        <v>309</v>
      </c>
      <c r="B246" s="2">
        <v>45805</v>
      </c>
      <c r="C246" t="s">
        <v>40</v>
      </c>
      <c r="D246" t="s">
        <v>57</v>
      </c>
      <c r="E246" t="s">
        <v>45</v>
      </c>
      <c r="F246" t="s">
        <v>46</v>
      </c>
      <c r="G246">
        <v>2</v>
      </c>
      <c r="H246" s="3">
        <v>11100</v>
      </c>
      <c r="I246" t="s">
        <v>34</v>
      </c>
      <c r="J246" t="s">
        <v>31</v>
      </c>
    </row>
    <row r="247" spans="1:10" x14ac:dyDescent="0.3">
      <c r="A247" t="s">
        <v>310</v>
      </c>
      <c r="B247" s="2">
        <v>46009</v>
      </c>
      <c r="C247" t="s">
        <v>44</v>
      </c>
      <c r="D247" t="s">
        <v>12</v>
      </c>
      <c r="E247" t="s">
        <v>13</v>
      </c>
      <c r="F247" t="s">
        <v>14</v>
      </c>
      <c r="G247">
        <v>4</v>
      </c>
      <c r="H247" s="3">
        <v>16780</v>
      </c>
      <c r="I247" t="s">
        <v>75</v>
      </c>
      <c r="J247" t="s">
        <v>21</v>
      </c>
    </row>
    <row r="248" spans="1:10" x14ac:dyDescent="0.3">
      <c r="A248" t="s">
        <v>311</v>
      </c>
      <c r="B248" s="2">
        <v>45856</v>
      </c>
      <c r="C248" t="s">
        <v>28</v>
      </c>
      <c r="D248" t="s">
        <v>18</v>
      </c>
      <c r="E248" t="s">
        <v>45</v>
      </c>
      <c r="F248" t="s">
        <v>46</v>
      </c>
      <c r="G248">
        <v>2</v>
      </c>
      <c r="H248" s="3">
        <v>13110</v>
      </c>
      <c r="I248" t="s">
        <v>53</v>
      </c>
      <c r="J248" t="s">
        <v>16</v>
      </c>
    </row>
    <row r="249" spans="1:10" x14ac:dyDescent="0.3">
      <c r="A249" t="s">
        <v>312</v>
      </c>
      <c r="B249" s="2">
        <v>45965</v>
      </c>
      <c r="C249" t="s">
        <v>40</v>
      </c>
      <c r="D249" t="s">
        <v>12</v>
      </c>
      <c r="E249" t="s">
        <v>79</v>
      </c>
      <c r="F249" t="s">
        <v>64</v>
      </c>
      <c r="G249">
        <v>1</v>
      </c>
      <c r="H249" s="3">
        <v>8540</v>
      </c>
      <c r="I249" t="s">
        <v>26</v>
      </c>
      <c r="J249" t="s">
        <v>16</v>
      </c>
    </row>
    <row r="250" spans="1:10" x14ac:dyDescent="0.3">
      <c r="A250" t="s">
        <v>313</v>
      </c>
      <c r="B250" s="2">
        <v>45785</v>
      </c>
      <c r="C250" t="s">
        <v>44</v>
      </c>
      <c r="D250" t="s">
        <v>12</v>
      </c>
      <c r="E250" t="s">
        <v>63</v>
      </c>
      <c r="F250" t="s">
        <v>64</v>
      </c>
      <c r="G250">
        <v>10</v>
      </c>
      <c r="H250" s="3">
        <v>7780</v>
      </c>
      <c r="I250" t="s">
        <v>72</v>
      </c>
      <c r="J250" t="s">
        <v>16</v>
      </c>
    </row>
    <row r="251" spans="1:10" x14ac:dyDescent="0.3">
      <c r="A251" t="s">
        <v>314</v>
      </c>
      <c r="B251" s="2">
        <v>45696</v>
      </c>
      <c r="C251" t="s">
        <v>40</v>
      </c>
      <c r="D251" t="s">
        <v>36</v>
      </c>
      <c r="E251" t="s">
        <v>30</v>
      </c>
      <c r="F251" t="s">
        <v>25</v>
      </c>
      <c r="G251">
        <v>2</v>
      </c>
      <c r="H251" s="3">
        <v>2540</v>
      </c>
      <c r="I251" t="s">
        <v>141</v>
      </c>
      <c r="J251" t="s">
        <v>42</v>
      </c>
    </row>
    <row r="252" spans="1:10" x14ac:dyDescent="0.3">
      <c r="A252" t="s">
        <v>78</v>
      </c>
      <c r="B252" s="2">
        <v>45971</v>
      </c>
      <c r="C252" t="s">
        <v>44</v>
      </c>
      <c r="D252" t="s">
        <v>18</v>
      </c>
      <c r="E252" t="s">
        <v>79</v>
      </c>
      <c r="F252" t="s">
        <v>64</v>
      </c>
      <c r="G252">
        <v>5</v>
      </c>
      <c r="H252" s="3">
        <v>9410</v>
      </c>
      <c r="I252" t="s">
        <v>65</v>
      </c>
      <c r="J252" t="s">
        <v>42</v>
      </c>
    </row>
  </sheetData>
  <autoFilter ref="A1:J2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1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5" width="14" customWidth="1"/>
    <col min="6" max="6" width="18" customWidth="1"/>
    <col min="7" max="8" width="12" customWidth="1"/>
    <col min="9" max="9" width="20" customWidth="1"/>
    <col min="10" max="10" width="16" customWidth="1"/>
    <col min="11" max="11" width="12" customWidth="1"/>
    <col min="12" max="12" width="25" customWidth="1"/>
    <col min="13" max="13" width="16" customWidth="1"/>
    <col min="14" max="14" width="28" customWidth="1"/>
    <col min="15" max="15" width="20" customWidth="1"/>
    <col min="16" max="16" width="14" customWidth="1"/>
    <col min="17" max="17" width="13" customWidth="1"/>
    <col min="18" max="18" width="28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</row>
    <row r="2" spans="1:18" x14ac:dyDescent="0.3">
      <c r="A2" t="s">
        <v>10</v>
      </c>
      <c r="B2" s="2">
        <v>45760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 s="3">
        <v>16700</v>
      </c>
      <c r="I2" t="s">
        <v>15</v>
      </c>
      <c r="J2" t="s">
        <v>16</v>
      </c>
      <c r="K2" s="3">
        <f t="shared" ref="K2:K65" si="0">G2*H2</f>
        <v>83500</v>
      </c>
      <c r="L2" s="4">
        <f t="shared" ref="L2:L65" si="1">IF(K2&gt;=50000,10%,5%)</f>
        <v>0.1</v>
      </c>
      <c r="M2" s="3" t="s">
        <v>409</v>
      </c>
      <c r="N2" t="e">
        <f t="shared" ref="N2:N65" ca="1" si="2">_xludf.IFS(M2&gt;=100000,"Excellent",M2&gt;=50000,"Good",M2&gt;=10000,"Average",TRUE,"Low")</f>
        <v>#NAME?</v>
      </c>
      <c r="O2" t="str">
        <f t="shared" ref="O2:O65" si="3">TEXT(B2,"mmmm")</f>
        <v>April</v>
      </c>
      <c r="P2">
        <f t="shared" ref="P2:P65" si="4">MONTH(B2)</f>
        <v>4</v>
      </c>
      <c r="Q2">
        <f t="shared" ref="Q2:Q65" si="5">YEAR(B2)</f>
        <v>2025</v>
      </c>
      <c r="R2" t="str">
        <f t="shared" ref="R2:R65" si="6">"Q"&amp;ROUNDUP(MONTH(B2)/3,0)</f>
        <v>Q2</v>
      </c>
    </row>
    <row r="3" spans="1:18" x14ac:dyDescent="0.3">
      <c r="A3" t="s">
        <v>17</v>
      </c>
      <c r="B3" s="2">
        <v>46006</v>
      </c>
      <c r="C3" t="s">
        <v>11</v>
      </c>
      <c r="D3" t="s">
        <v>18</v>
      </c>
      <c r="E3" t="s">
        <v>19</v>
      </c>
      <c r="F3" t="s">
        <v>14</v>
      </c>
      <c r="G3">
        <v>1</v>
      </c>
      <c r="H3" s="3">
        <v>4260</v>
      </c>
      <c r="I3" t="s">
        <v>20</v>
      </c>
      <c r="J3" t="s">
        <v>323</v>
      </c>
      <c r="K3" s="3">
        <f t="shared" si="0"/>
        <v>4260</v>
      </c>
      <c r="L3" s="4">
        <f t="shared" si="1"/>
        <v>0.05</v>
      </c>
      <c r="M3" s="3">
        <f t="shared" ref="M2:M65" si="7">K3*(1-L3)</f>
        <v>4047</v>
      </c>
      <c r="N3" t="e">
        <f t="shared" ca="1" si="2"/>
        <v>#NAME?</v>
      </c>
      <c r="O3" t="str">
        <f t="shared" si="3"/>
        <v>December</v>
      </c>
      <c r="P3">
        <f t="shared" si="4"/>
        <v>12</v>
      </c>
      <c r="Q3">
        <f t="shared" si="5"/>
        <v>2025</v>
      </c>
      <c r="R3" t="str">
        <f t="shared" si="6"/>
        <v>Q4</v>
      </c>
    </row>
    <row r="4" spans="1:18" x14ac:dyDescent="0.3">
      <c r="A4" t="s">
        <v>22</v>
      </c>
      <c r="B4" s="2">
        <v>45928</v>
      </c>
      <c r="C4" t="s">
        <v>11</v>
      </c>
      <c r="D4" t="s">
        <v>23</v>
      </c>
      <c r="E4" t="s">
        <v>24</v>
      </c>
      <c r="F4" t="s">
        <v>25</v>
      </c>
      <c r="G4">
        <v>1</v>
      </c>
      <c r="H4" s="3">
        <v>760</v>
      </c>
      <c r="I4" t="s">
        <v>26</v>
      </c>
      <c r="J4" t="s">
        <v>323</v>
      </c>
      <c r="K4" s="3">
        <f t="shared" si="0"/>
        <v>760</v>
      </c>
      <c r="L4" s="4">
        <f t="shared" si="1"/>
        <v>0.05</v>
      </c>
      <c r="M4" s="3">
        <f t="shared" si="7"/>
        <v>722</v>
      </c>
      <c r="N4" t="e">
        <f t="shared" ca="1" si="2"/>
        <v>#NAME?</v>
      </c>
      <c r="O4" t="str">
        <f t="shared" si="3"/>
        <v>September</v>
      </c>
      <c r="P4">
        <f t="shared" si="4"/>
        <v>9</v>
      </c>
      <c r="Q4">
        <f t="shared" si="5"/>
        <v>2025</v>
      </c>
      <c r="R4" t="str">
        <f t="shared" si="6"/>
        <v>Q3</v>
      </c>
    </row>
    <row r="5" spans="1:18" x14ac:dyDescent="0.3">
      <c r="A5" t="s">
        <v>27</v>
      </c>
      <c r="B5" s="2">
        <v>45764</v>
      </c>
      <c r="C5" t="s">
        <v>28</v>
      </c>
      <c r="D5" t="s">
        <v>29</v>
      </c>
      <c r="E5" t="s">
        <v>30</v>
      </c>
      <c r="F5" t="s">
        <v>25</v>
      </c>
      <c r="G5">
        <v>4</v>
      </c>
      <c r="H5" s="3">
        <v>2420</v>
      </c>
      <c r="I5" t="s">
        <v>20</v>
      </c>
      <c r="J5" t="s">
        <v>31</v>
      </c>
      <c r="K5" s="3">
        <f t="shared" si="0"/>
        <v>9680</v>
      </c>
      <c r="L5" s="4">
        <f t="shared" si="1"/>
        <v>0.05</v>
      </c>
      <c r="M5" s="3">
        <f t="shared" si="7"/>
        <v>9196</v>
      </c>
      <c r="N5" t="e">
        <f t="shared" ca="1" si="2"/>
        <v>#NAME?</v>
      </c>
      <c r="O5" t="str">
        <f t="shared" si="3"/>
        <v>April</v>
      </c>
      <c r="P5">
        <f t="shared" si="4"/>
        <v>4</v>
      </c>
      <c r="Q5">
        <f t="shared" si="5"/>
        <v>2025</v>
      </c>
      <c r="R5" t="str">
        <f t="shared" si="6"/>
        <v>Q2</v>
      </c>
    </row>
    <row r="6" spans="1:18" x14ac:dyDescent="0.3">
      <c r="A6" t="s">
        <v>32</v>
      </c>
      <c r="B6" s="2">
        <v>45729</v>
      </c>
      <c r="C6" t="s">
        <v>11</v>
      </c>
      <c r="D6" t="s">
        <v>12</v>
      </c>
      <c r="E6" t="s">
        <v>33</v>
      </c>
      <c r="F6" t="s">
        <v>25</v>
      </c>
      <c r="G6">
        <v>2</v>
      </c>
      <c r="H6" s="3">
        <v>1620</v>
      </c>
      <c r="I6" t="s">
        <v>34</v>
      </c>
      <c r="J6" t="s">
        <v>16</v>
      </c>
      <c r="K6" s="3">
        <f t="shared" si="0"/>
        <v>3240</v>
      </c>
      <c r="L6" s="4">
        <f t="shared" si="1"/>
        <v>0.05</v>
      </c>
      <c r="M6" s="3">
        <f t="shared" si="7"/>
        <v>3078</v>
      </c>
      <c r="N6" t="e">
        <f t="shared" ca="1" si="2"/>
        <v>#NAME?</v>
      </c>
      <c r="O6" t="str">
        <f t="shared" si="3"/>
        <v>March</v>
      </c>
      <c r="P6">
        <f t="shared" si="4"/>
        <v>3</v>
      </c>
      <c r="Q6">
        <f t="shared" si="5"/>
        <v>2025</v>
      </c>
      <c r="R6" t="str">
        <f t="shared" si="6"/>
        <v>Q1</v>
      </c>
    </row>
    <row r="7" spans="1:18" x14ac:dyDescent="0.3">
      <c r="A7" t="s">
        <v>35</v>
      </c>
      <c r="B7" s="2">
        <v>45846</v>
      </c>
      <c r="C7" t="s">
        <v>11</v>
      </c>
      <c r="D7" t="s">
        <v>36</v>
      </c>
      <c r="E7" t="s">
        <v>37</v>
      </c>
      <c r="F7" t="s">
        <v>14</v>
      </c>
      <c r="G7">
        <v>5</v>
      </c>
      <c r="H7" s="3">
        <v>58140</v>
      </c>
      <c r="I7" t="s">
        <v>38</v>
      </c>
      <c r="J7" t="s">
        <v>31</v>
      </c>
      <c r="K7" s="3">
        <f t="shared" si="0"/>
        <v>290700</v>
      </c>
      <c r="L7" s="4">
        <f t="shared" si="1"/>
        <v>0.1</v>
      </c>
      <c r="M7" s="3">
        <f t="shared" si="7"/>
        <v>261630</v>
      </c>
      <c r="N7" t="e">
        <f t="shared" ca="1" si="2"/>
        <v>#NAME?</v>
      </c>
      <c r="O7" t="str">
        <f t="shared" si="3"/>
        <v>July</v>
      </c>
      <c r="P7">
        <f t="shared" si="4"/>
        <v>7</v>
      </c>
      <c r="Q7">
        <f t="shared" si="5"/>
        <v>2025</v>
      </c>
      <c r="R7" t="str">
        <f t="shared" si="6"/>
        <v>Q3</v>
      </c>
    </row>
    <row r="8" spans="1:18" x14ac:dyDescent="0.3">
      <c r="A8" t="s">
        <v>39</v>
      </c>
      <c r="B8" s="2">
        <v>45678</v>
      </c>
      <c r="C8" t="s">
        <v>40</v>
      </c>
      <c r="D8" t="s">
        <v>23</v>
      </c>
      <c r="E8" t="s">
        <v>41</v>
      </c>
      <c r="F8" t="s">
        <v>14</v>
      </c>
      <c r="G8">
        <v>1</v>
      </c>
      <c r="H8" s="3">
        <v>30650</v>
      </c>
      <c r="I8" t="s">
        <v>15</v>
      </c>
      <c r="J8" t="s">
        <v>42</v>
      </c>
      <c r="K8" s="3">
        <f t="shared" si="0"/>
        <v>30650</v>
      </c>
      <c r="L8" s="4">
        <f t="shared" si="1"/>
        <v>0.05</v>
      </c>
      <c r="M8" s="3">
        <f t="shared" si="7"/>
        <v>29117.5</v>
      </c>
      <c r="N8" t="e">
        <f t="shared" ca="1" si="2"/>
        <v>#NAME?</v>
      </c>
      <c r="O8" t="str">
        <f t="shared" si="3"/>
        <v>January</v>
      </c>
      <c r="P8">
        <f t="shared" si="4"/>
        <v>1</v>
      </c>
      <c r="Q8">
        <f t="shared" si="5"/>
        <v>2025</v>
      </c>
      <c r="R8" t="str">
        <f t="shared" si="6"/>
        <v>Q1</v>
      </c>
    </row>
    <row r="9" spans="1:18" x14ac:dyDescent="0.3">
      <c r="A9" t="s">
        <v>43</v>
      </c>
      <c r="B9" s="2">
        <v>45760</v>
      </c>
      <c r="C9" t="s">
        <v>44</v>
      </c>
      <c r="D9" t="s">
        <v>36</v>
      </c>
      <c r="E9" t="s">
        <v>45</v>
      </c>
      <c r="F9" t="s">
        <v>46</v>
      </c>
      <c r="G9">
        <v>1</v>
      </c>
      <c r="H9" s="3">
        <v>12360</v>
      </c>
      <c r="I9" t="s">
        <v>141</v>
      </c>
      <c r="J9" t="s">
        <v>31</v>
      </c>
      <c r="K9" s="3">
        <f t="shared" si="0"/>
        <v>12360</v>
      </c>
      <c r="L9" s="4">
        <f t="shared" si="1"/>
        <v>0.05</v>
      </c>
      <c r="M9" s="3">
        <f t="shared" si="7"/>
        <v>11742</v>
      </c>
      <c r="N9" t="e">
        <f t="shared" ca="1" si="2"/>
        <v>#NAME?</v>
      </c>
      <c r="O9" t="str">
        <f t="shared" si="3"/>
        <v>April</v>
      </c>
      <c r="P9">
        <f t="shared" si="4"/>
        <v>4</v>
      </c>
      <c r="Q9">
        <f t="shared" si="5"/>
        <v>2025</v>
      </c>
      <c r="R9" t="str">
        <f t="shared" si="6"/>
        <v>Q2</v>
      </c>
    </row>
    <row r="10" spans="1:18" x14ac:dyDescent="0.3">
      <c r="A10" t="s">
        <v>48</v>
      </c>
      <c r="B10" s="2">
        <v>45779</v>
      </c>
      <c r="C10" t="s">
        <v>11</v>
      </c>
      <c r="D10" t="s">
        <v>29</v>
      </c>
      <c r="E10" t="s">
        <v>37</v>
      </c>
      <c r="F10" t="s">
        <v>14</v>
      </c>
      <c r="G10">
        <v>2</v>
      </c>
      <c r="H10" s="3">
        <v>51470</v>
      </c>
      <c r="I10" t="s">
        <v>49</v>
      </c>
      <c r="J10" t="s">
        <v>31</v>
      </c>
      <c r="K10" s="3">
        <f t="shared" si="0"/>
        <v>102940</v>
      </c>
      <c r="L10" s="4">
        <f t="shared" si="1"/>
        <v>0.1</v>
      </c>
      <c r="M10" s="3">
        <f t="shared" si="7"/>
        <v>92646</v>
      </c>
      <c r="N10" t="e">
        <f t="shared" ca="1" si="2"/>
        <v>#NAME?</v>
      </c>
      <c r="O10" t="str">
        <f t="shared" si="3"/>
        <v>May</v>
      </c>
      <c r="P10">
        <f t="shared" si="4"/>
        <v>5</v>
      </c>
      <c r="Q10">
        <f t="shared" si="5"/>
        <v>2025</v>
      </c>
      <c r="R10" t="str">
        <f t="shared" si="6"/>
        <v>Q2</v>
      </c>
    </row>
    <row r="11" spans="1:18" x14ac:dyDescent="0.3">
      <c r="A11" t="s">
        <v>50</v>
      </c>
      <c r="B11" s="2">
        <v>45872</v>
      </c>
      <c r="C11" t="s">
        <v>40</v>
      </c>
      <c r="D11" t="s">
        <v>23</v>
      </c>
      <c r="E11" t="s">
        <v>37</v>
      </c>
      <c r="F11" t="s">
        <v>14</v>
      </c>
      <c r="G11">
        <v>1</v>
      </c>
      <c r="H11" s="3">
        <v>56500</v>
      </c>
      <c r="I11" t="s">
        <v>51</v>
      </c>
      <c r="J11" t="s">
        <v>42</v>
      </c>
      <c r="K11" s="3">
        <f t="shared" si="0"/>
        <v>56500</v>
      </c>
      <c r="L11" s="4">
        <f t="shared" si="1"/>
        <v>0.1</v>
      </c>
      <c r="M11" s="3">
        <f t="shared" si="7"/>
        <v>50850</v>
      </c>
      <c r="N11" t="e">
        <f t="shared" ca="1" si="2"/>
        <v>#NAME?</v>
      </c>
      <c r="O11" t="str">
        <f t="shared" si="3"/>
        <v>August</v>
      </c>
      <c r="P11">
        <f t="shared" si="4"/>
        <v>8</v>
      </c>
      <c r="Q11">
        <f t="shared" si="5"/>
        <v>2025</v>
      </c>
      <c r="R11" t="str">
        <f t="shared" si="6"/>
        <v>Q3</v>
      </c>
    </row>
    <row r="12" spans="1:18" x14ac:dyDescent="0.3">
      <c r="A12" t="s">
        <v>52</v>
      </c>
      <c r="B12" s="2">
        <v>45988</v>
      </c>
      <c r="C12" t="s">
        <v>28</v>
      </c>
      <c r="D12" t="s">
        <v>18</v>
      </c>
      <c r="E12" t="s">
        <v>33</v>
      </c>
      <c r="F12" t="s">
        <v>25</v>
      </c>
      <c r="G12">
        <v>3</v>
      </c>
      <c r="H12" s="3">
        <v>1620</v>
      </c>
      <c r="I12" t="s">
        <v>53</v>
      </c>
      <c r="J12" t="s">
        <v>31</v>
      </c>
      <c r="K12" s="3">
        <f t="shared" si="0"/>
        <v>4860</v>
      </c>
      <c r="L12" s="4">
        <f t="shared" si="1"/>
        <v>0.05</v>
      </c>
      <c r="M12" s="3">
        <f t="shared" si="7"/>
        <v>4617</v>
      </c>
      <c r="N12" t="e">
        <f t="shared" ca="1" si="2"/>
        <v>#NAME?</v>
      </c>
      <c r="O12" t="str">
        <f t="shared" si="3"/>
        <v>November</v>
      </c>
      <c r="P12">
        <f t="shared" si="4"/>
        <v>11</v>
      </c>
      <c r="Q12">
        <f t="shared" si="5"/>
        <v>2025</v>
      </c>
      <c r="R12" t="str">
        <f t="shared" si="6"/>
        <v>Q4</v>
      </c>
    </row>
    <row r="13" spans="1:18" x14ac:dyDescent="0.3">
      <c r="A13" t="s">
        <v>54</v>
      </c>
      <c r="B13" s="2">
        <v>45745</v>
      </c>
      <c r="C13" t="s">
        <v>11</v>
      </c>
      <c r="D13" t="s">
        <v>29</v>
      </c>
      <c r="E13" t="s">
        <v>37</v>
      </c>
      <c r="F13" t="s">
        <v>14</v>
      </c>
      <c r="G13">
        <v>2</v>
      </c>
      <c r="H13" s="3">
        <v>52030</v>
      </c>
      <c r="I13" t="s">
        <v>55</v>
      </c>
      <c r="J13" t="s">
        <v>16</v>
      </c>
      <c r="K13" s="3">
        <f t="shared" si="0"/>
        <v>104060</v>
      </c>
      <c r="L13" s="4">
        <f t="shared" si="1"/>
        <v>0.1</v>
      </c>
      <c r="M13" s="3">
        <f t="shared" si="7"/>
        <v>93654</v>
      </c>
      <c r="N13" t="e">
        <f t="shared" ca="1" si="2"/>
        <v>#NAME?</v>
      </c>
      <c r="O13" t="str">
        <f t="shared" si="3"/>
        <v>March</v>
      </c>
      <c r="P13">
        <f t="shared" si="4"/>
        <v>3</v>
      </c>
      <c r="Q13">
        <f t="shared" si="5"/>
        <v>2025</v>
      </c>
      <c r="R13" t="str">
        <f t="shared" si="6"/>
        <v>Q1</v>
      </c>
    </row>
    <row r="14" spans="1:18" x14ac:dyDescent="0.3">
      <c r="A14" t="s">
        <v>56</v>
      </c>
      <c r="B14" s="2">
        <v>45757</v>
      </c>
      <c r="C14" t="s">
        <v>40</v>
      </c>
      <c r="D14" t="s">
        <v>57</v>
      </c>
      <c r="E14" t="s">
        <v>37</v>
      </c>
      <c r="F14" t="s">
        <v>14</v>
      </c>
      <c r="G14">
        <v>1</v>
      </c>
      <c r="H14" s="3">
        <v>60440</v>
      </c>
      <c r="I14" t="s">
        <v>58</v>
      </c>
      <c r="J14" t="s">
        <v>323</v>
      </c>
      <c r="K14" s="3">
        <f t="shared" si="0"/>
        <v>60440</v>
      </c>
      <c r="L14" s="4">
        <f t="shared" si="1"/>
        <v>0.1</v>
      </c>
      <c r="M14" s="3">
        <f t="shared" si="7"/>
        <v>54396</v>
      </c>
      <c r="N14" t="e">
        <f t="shared" ca="1" si="2"/>
        <v>#NAME?</v>
      </c>
      <c r="O14" t="str">
        <f t="shared" si="3"/>
        <v>April</v>
      </c>
      <c r="P14">
        <f t="shared" si="4"/>
        <v>4</v>
      </c>
      <c r="Q14">
        <f t="shared" si="5"/>
        <v>2025</v>
      </c>
      <c r="R14" t="str">
        <f t="shared" si="6"/>
        <v>Q2</v>
      </c>
    </row>
    <row r="15" spans="1:18" x14ac:dyDescent="0.3">
      <c r="A15" t="s">
        <v>59</v>
      </c>
      <c r="B15" s="2">
        <v>46017</v>
      </c>
      <c r="C15" t="s">
        <v>44</v>
      </c>
      <c r="D15" t="s">
        <v>57</v>
      </c>
      <c r="E15" t="s">
        <v>45</v>
      </c>
      <c r="F15" t="s">
        <v>46</v>
      </c>
      <c r="G15">
        <v>1</v>
      </c>
      <c r="H15" s="3">
        <v>12590</v>
      </c>
      <c r="I15" t="s">
        <v>49</v>
      </c>
      <c r="J15" t="s">
        <v>42</v>
      </c>
      <c r="K15" s="3">
        <f t="shared" si="0"/>
        <v>12590</v>
      </c>
      <c r="L15" s="4">
        <f t="shared" si="1"/>
        <v>0.05</v>
      </c>
      <c r="M15" s="3">
        <f t="shared" si="7"/>
        <v>11960.5</v>
      </c>
      <c r="N15" t="e">
        <f t="shared" ca="1" si="2"/>
        <v>#NAME?</v>
      </c>
      <c r="O15" t="str">
        <f t="shared" si="3"/>
        <v>December</v>
      </c>
      <c r="P15">
        <f t="shared" si="4"/>
        <v>12</v>
      </c>
      <c r="Q15">
        <f t="shared" si="5"/>
        <v>2025</v>
      </c>
      <c r="R15" t="str">
        <f t="shared" si="6"/>
        <v>Q4</v>
      </c>
    </row>
    <row r="16" spans="1:18" x14ac:dyDescent="0.3">
      <c r="A16" t="s">
        <v>60</v>
      </c>
      <c r="B16" s="2">
        <v>45809</v>
      </c>
      <c r="C16" t="s">
        <v>11</v>
      </c>
      <c r="D16" t="s">
        <v>57</v>
      </c>
      <c r="E16" t="s">
        <v>30</v>
      </c>
      <c r="F16" t="s">
        <v>25</v>
      </c>
      <c r="G16">
        <v>1</v>
      </c>
      <c r="H16" s="3">
        <v>2740</v>
      </c>
      <c r="I16" t="s">
        <v>53</v>
      </c>
      <c r="J16" t="s">
        <v>31</v>
      </c>
      <c r="K16" s="3">
        <f t="shared" si="0"/>
        <v>2740</v>
      </c>
      <c r="L16" s="4">
        <f t="shared" si="1"/>
        <v>0.05</v>
      </c>
      <c r="M16" s="3">
        <f t="shared" si="7"/>
        <v>2603</v>
      </c>
      <c r="N16" t="e">
        <f t="shared" ca="1" si="2"/>
        <v>#NAME?</v>
      </c>
      <c r="O16" t="str">
        <f t="shared" si="3"/>
        <v>June</v>
      </c>
      <c r="P16">
        <f t="shared" si="4"/>
        <v>6</v>
      </c>
      <c r="Q16">
        <f t="shared" si="5"/>
        <v>2025</v>
      </c>
      <c r="R16" t="str">
        <f t="shared" si="6"/>
        <v>Q2</v>
      </c>
    </row>
    <row r="17" spans="1:18" x14ac:dyDescent="0.3">
      <c r="A17" t="s">
        <v>61</v>
      </c>
      <c r="B17" s="2">
        <v>45788</v>
      </c>
      <c r="C17" t="s">
        <v>28</v>
      </c>
      <c r="D17" t="s">
        <v>23</v>
      </c>
      <c r="E17" t="s">
        <v>33</v>
      </c>
      <c r="F17" t="s">
        <v>25</v>
      </c>
      <c r="G17">
        <v>1</v>
      </c>
      <c r="H17" s="3">
        <v>1520</v>
      </c>
      <c r="I17" t="s">
        <v>38</v>
      </c>
      <c r="J17" t="s">
        <v>31</v>
      </c>
      <c r="K17" s="3">
        <f t="shared" si="0"/>
        <v>1520</v>
      </c>
      <c r="L17" s="4">
        <f t="shared" si="1"/>
        <v>0.05</v>
      </c>
      <c r="M17" s="3">
        <f t="shared" si="7"/>
        <v>1444</v>
      </c>
      <c r="N17" t="e">
        <f t="shared" ca="1" si="2"/>
        <v>#NAME?</v>
      </c>
      <c r="O17" t="str">
        <f t="shared" si="3"/>
        <v>May</v>
      </c>
      <c r="P17">
        <f t="shared" si="4"/>
        <v>5</v>
      </c>
      <c r="Q17">
        <f t="shared" si="5"/>
        <v>2025</v>
      </c>
      <c r="R17" t="str">
        <f t="shared" si="6"/>
        <v>Q2</v>
      </c>
    </row>
    <row r="18" spans="1:18" x14ac:dyDescent="0.3">
      <c r="A18" t="s">
        <v>62</v>
      </c>
      <c r="B18" s="2">
        <v>45807</v>
      </c>
      <c r="C18" t="s">
        <v>40</v>
      </c>
      <c r="D18" t="s">
        <v>18</v>
      </c>
      <c r="E18" t="s">
        <v>63</v>
      </c>
      <c r="F18" t="s">
        <v>64</v>
      </c>
      <c r="G18">
        <v>1</v>
      </c>
      <c r="H18" s="3">
        <v>7670</v>
      </c>
      <c r="I18" t="s">
        <v>65</v>
      </c>
      <c r="J18" t="s">
        <v>42</v>
      </c>
      <c r="K18" s="3">
        <f t="shared" si="0"/>
        <v>7670</v>
      </c>
      <c r="L18" s="4">
        <f t="shared" si="1"/>
        <v>0.05</v>
      </c>
      <c r="M18" s="3">
        <f t="shared" si="7"/>
        <v>7286.5</v>
      </c>
      <c r="N18" t="e">
        <f t="shared" ca="1" si="2"/>
        <v>#NAME?</v>
      </c>
      <c r="O18" t="str">
        <f t="shared" si="3"/>
        <v>May</v>
      </c>
      <c r="P18">
        <f t="shared" si="4"/>
        <v>5</v>
      </c>
      <c r="Q18">
        <f t="shared" si="5"/>
        <v>2025</v>
      </c>
      <c r="R18" t="str">
        <f t="shared" si="6"/>
        <v>Q2</v>
      </c>
    </row>
    <row r="19" spans="1:18" x14ac:dyDescent="0.3">
      <c r="A19" t="s">
        <v>66</v>
      </c>
      <c r="B19" s="2">
        <v>45966</v>
      </c>
      <c r="C19" t="s">
        <v>44</v>
      </c>
      <c r="D19" t="s">
        <v>29</v>
      </c>
      <c r="E19" t="s">
        <v>19</v>
      </c>
      <c r="F19" t="s">
        <v>14</v>
      </c>
      <c r="G19">
        <v>1</v>
      </c>
      <c r="H19" s="3">
        <v>4810</v>
      </c>
      <c r="I19" t="s">
        <v>20</v>
      </c>
      <c r="J19" t="s">
        <v>16</v>
      </c>
      <c r="K19" s="3">
        <f t="shared" si="0"/>
        <v>4810</v>
      </c>
      <c r="L19" s="4">
        <f t="shared" si="1"/>
        <v>0.05</v>
      </c>
      <c r="M19" s="3">
        <f t="shared" si="7"/>
        <v>4569.5</v>
      </c>
      <c r="N19" t="e">
        <f t="shared" ca="1" si="2"/>
        <v>#NAME?</v>
      </c>
      <c r="O19" t="str">
        <f t="shared" si="3"/>
        <v>November</v>
      </c>
      <c r="P19">
        <f t="shared" si="4"/>
        <v>11</v>
      </c>
      <c r="Q19">
        <f t="shared" si="5"/>
        <v>2025</v>
      </c>
      <c r="R19" t="str">
        <f t="shared" si="6"/>
        <v>Q4</v>
      </c>
    </row>
    <row r="20" spans="1:18" x14ac:dyDescent="0.3">
      <c r="A20" t="s">
        <v>67</v>
      </c>
      <c r="B20" s="2">
        <v>45915</v>
      </c>
      <c r="C20" t="s">
        <v>40</v>
      </c>
      <c r="D20" t="s">
        <v>12</v>
      </c>
      <c r="E20" t="s">
        <v>19</v>
      </c>
      <c r="F20" t="s">
        <v>14</v>
      </c>
      <c r="G20">
        <v>4</v>
      </c>
      <c r="H20" s="3">
        <v>4430</v>
      </c>
      <c r="I20" t="s">
        <v>69</v>
      </c>
      <c r="J20" t="s">
        <v>31</v>
      </c>
      <c r="K20" s="3">
        <f t="shared" si="0"/>
        <v>17720</v>
      </c>
      <c r="L20" s="4">
        <f t="shared" si="1"/>
        <v>0.05</v>
      </c>
      <c r="M20" s="3">
        <f t="shared" si="7"/>
        <v>16834</v>
      </c>
      <c r="N20" t="e">
        <f t="shared" ca="1" si="2"/>
        <v>#NAME?</v>
      </c>
      <c r="O20" t="str">
        <f t="shared" si="3"/>
        <v>September</v>
      </c>
      <c r="P20">
        <f t="shared" si="4"/>
        <v>9</v>
      </c>
      <c r="Q20">
        <f t="shared" si="5"/>
        <v>2025</v>
      </c>
      <c r="R20" t="str">
        <f t="shared" si="6"/>
        <v>Q3</v>
      </c>
    </row>
    <row r="21" spans="1:18" x14ac:dyDescent="0.3">
      <c r="A21" t="s">
        <v>70</v>
      </c>
      <c r="B21" s="2">
        <v>46001</v>
      </c>
      <c r="C21" t="s">
        <v>44</v>
      </c>
      <c r="D21" t="s">
        <v>36</v>
      </c>
      <c r="E21" t="s">
        <v>19</v>
      </c>
      <c r="F21" t="s">
        <v>14</v>
      </c>
      <c r="G21">
        <v>4</v>
      </c>
      <c r="H21" s="3">
        <v>4500</v>
      </c>
      <c r="I21" t="s">
        <v>53</v>
      </c>
      <c r="J21" t="s">
        <v>31</v>
      </c>
      <c r="K21" s="3">
        <f t="shared" si="0"/>
        <v>18000</v>
      </c>
      <c r="L21" s="4">
        <f t="shared" si="1"/>
        <v>0.05</v>
      </c>
      <c r="M21" s="3">
        <f t="shared" si="7"/>
        <v>17100</v>
      </c>
      <c r="N21" t="e">
        <f t="shared" ca="1" si="2"/>
        <v>#NAME?</v>
      </c>
      <c r="O21" t="str">
        <f t="shared" si="3"/>
        <v>December</v>
      </c>
      <c r="P21">
        <f t="shared" si="4"/>
        <v>12</v>
      </c>
      <c r="Q21">
        <f t="shared" si="5"/>
        <v>2025</v>
      </c>
      <c r="R21" t="str">
        <f t="shared" si="6"/>
        <v>Q4</v>
      </c>
    </row>
    <row r="22" spans="1:18" x14ac:dyDescent="0.3">
      <c r="A22" t="s">
        <v>71</v>
      </c>
      <c r="B22" s="2">
        <v>45951</v>
      </c>
      <c r="C22" t="s">
        <v>40</v>
      </c>
      <c r="D22" t="s">
        <v>18</v>
      </c>
      <c r="E22" t="s">
        <v>33</v>
      </c>
      <c r="F22" t="s">
        <v>25</v>
      </c>
      <c r="G22">
        <v>4</v>
      </c>
      <c r="H22" s="3">
        <v>1360</v>
      </c>
      <c r="I22" t="s">
        <v>72</v>
      </c>
      <c r="J22" t="s">
        <v>323</v>
      </c>
      <c r="K22" s="3">
        <f t="shared" si="0"/>
        <v>5440</v>
      </c>
      <c r="L22" s="4">
        <f t="shared" si="1"/>
        <v>0.05</v>
      </c>
      <c r="M22" s="3">
        <f t="shared" si="7"/>
        <v>5168</v>
      </c>
      <c r="N22" t="e">
        <f t="shared" ca="1" si="2"/>
        <v>#NAME?</v>
      </c>
      <c r="O22" t="str">
        <f t="shared" si="3"/>
        <v>October</v>
      </c>
      <c r="P22">
        <f t="shared" si="4"/>
        <v>10</v>
      </c>
      <c r="Q22">
        <f t="shared" si="5"/>
        <v>2025</v>
      </c>
      <c r="R22" t="str">
        <f t="shared" si="6"/>
        <v>Q4</v>
      </c>
    </row>
    <row r="23" spans="1:18" x14ac:dyDescent="0.3">
      <c r="A23" t="s">
        <v>73</v>
      </c>
      <c r="B23" s="2">
        <v>45849</v>
      </c>
      <c r="C23" t="s">
        <v>40</v>
      </c>
      <c r="D23" t="s">
        <v>12</v>
      </c>
      <c r="E23" t="s">
        <v>19</v>
      </c>
      <c r="F23" t="s">
        <v>14</v>
      </c>
      <c r="G23">
        <v>3</v>
      </c>
      <c r="H23" s="3">
        <v>4580</v>
      </c>
      <c r="I23" t="s">
        <v>34</v>
      </c>
      <c r="J23" t="s">
        <v>42</v>
      </c>
      <c r="K23" s="3">
        <f t="shared" si="0"/>
        <v>13740</v>
      </c>
      <c r="L23" s="4">
        <f t="shared" si="1"/>
        <v>0.05</v>
      </c>
      <c r="M23" s="3">
        <f t="shared" si="7"/>
        <v>13053</v>
      </c>
      <c r="N23" t="e">
        <f t="shared" ca="1" si="2"/>
        <v>#NAME?</v>
      </c>
      <c r="O23" t="str">
        <f t="shared" si="3"/>
        <v>July</v>
      </c>
      <c r="P23">
        <f t="shared" si="4"/>
        <v>7</v>
      </c>
      <c r="Q23">
        <f t="shared" si="5"/>
        <v>2025</v>
      </c>
      <c r="R23" t="str">
        <f t="shared" si="6"/>
        <v>Q3</v>
      </c>
    </row>
    <row r="24" spans="1:18" x14ac:dyDescent="0.3">
      <c r="A24" t="s">
        <v>74</v>
      </c>
      <c r="B24" s="2">
        <v>45934</v>
      </c>
      <c r="C24" t="s">
        <v>44</v>
      </c>
      <c r="D24" t="s">
        <v>12</v>
      </c>
      <c r="E24" t="s">
        <v>45</v>
      </c>
      <c r="F24" t="s">
        <v>46</v>
      </c>
      <c r="G24">
        <v>3</v>
      </c>
      <c r="H24" s="3">
        <v>12090</v>
      </c>
      <c r="I24" t="s">
        <v>75</v>
      </c>
      <c r="J24" t="s">
        <v>323</v>
      </c>
      <c r="K24" s="3">
        <f t="shared" si="0"/>
        <v>36270</v>
      </c>
      <c r="L24" s="4">
        <f t="shared" si="1"/>
        <v>0.05</v>
      </c>
      <c r="M24" s="3">
        <f t="shared" si="7"/>
        <v>34456.5</v>
      </c>
      <c r="N24" t="e">
        <f t="shared" ca="1" si="2"/>
        <v>#NAME?</v>
      </c>
      <c r="O24" t="str">
        <f t="shared" si="3"/>
        <v>October</v>
      </c>
      <c r="P24">
        <f t="shared" si="4"/>
        <v>10</v>
      </c>
      <c r="Q24">
        <f t="shared" si="5"/>
        <v>2025</v>
      </c>
      <c r="R24" t="str">
        <f t="shared" si="6"/>
        <v>Q4</v>
      </c>
    </row>
    <row r="25" spans="1:18" x14ac:dyDescent="0.3">
      <c r="A25" t="s">
        <v>76</v>
      </c>
      <c r="B25" s="2">
        <v>45818</v>
      </c>
      <c r="C25" t="s">
        <v>44</v>
      </c>
      <c r="D25" t="s">
        <v>36</v>
      </c>
      <c r="E25" t="s">
        <v>30</v>
      </c>
      <c r="F25" t="s">
        <v>25</v>
      </c>
      <c r="G25">
        <v>4</v>
      </c>
      <c r="H25" s="3">
        <v>2290</v>
      </c>
      <c r="I25" t="s">
        <v>77</v>
      </c>
      <c r="J25" t="s">
        <v>16</v>
      </c>
      <c r="K25" s="3">
        <f t="shared" si="0"/>
        <v>9160</v>
      </c>
      <c r="L25" s="4">
        <f t="shared" si="1"/>
        <v>0.05</v>
      </c>
      <c r="M25" s="3">
        <f t="shared" si="7"/>
        <v>8702</v>
      </c>
      <c r="N25" t="e">
        <f t="shared" ca="1" si="2"/>
        <v>#NAME?</v>
      </c>
      <c r="O25" t="str">
        <f t="shared" si="3"/>
        <v>June</v>
      </c>
      <c r="P25">
        <f t="shared" si="4"/>
        <v>6</v>
      </c>
      <c r="Q25">
        <f t="shared" si="5"/>
        <v>2025</v>
      </c>
      <c r="R25" t="str">
        <f t="shared" si="6"/>
        <v>Q2</v>
      </c>
    </row>
    <row r="26" spans="1:18" x14ac:dyDescent="0.3">
      <c r="A26" t="s">
        <v>78</v>
      </c>
      <c r="B26" s="2">
        <v>45971</v>
      </c>
      <c r="C26" t="s">
        <v>44</v>
      </c>
      <c r="D26" t="s">
        <v>18</v>
      </c>
      <c r="E26" t="s">
        <v>79</v>
      </c>
      <c r="F26" t="s">
        <v>64</v>
      </c>
      <c r="G26">
        <v>5</v>
      </c>
      <c r="H26" s="3">
        <v>9410</v>
      </c>
      <c r="I26" t="s">
        <v>65</v>
      </c>
      <c r="J26" t="s">
        <v>42</v>
      </c>
      <c r="K26" s="3">
        <f t="shared" si="0"/>
        <v>47050</v>
      </c>
      <c r="L26" s="4">
        <f t="shared" si="1"/>
        <v>0.05</v>
      </c>
      <c r="M26" s="3">
        <f t="shared" si="7"/>
        <v>44697.5</v>
      </c>
      <c r="N26" t="e">
        <f t="shared" ca="1" si="2"/>
        <v>#NAME?</v>
      </c>
      <c r="O26" t="str">
        <f t="shared" si="3"/>
        <v>November</v>
      </c>
      <c r="P26">
        <f t="shared" si="4"/>
        <v>11</v>
      </c>
      <c r="Q26">
        <f t="shared" si="5"/>
        <v>2025</v>
      </c>
      <c r="R26" t="str">
        <f t="shared" si="6"/>
        <v>Q4</v>
      </c>
    </row>
    <row r="27" spans="1:18" x14ac:dyDescent="0.3">
      <c r="A27" t="s">
        <v>80</v>
      </c>
      <c r="B27" s="2">
        <v>45679</v>
      </c>
      <c r="C27" t="s">
        <v>28</v>
      </c>
      <c r="D27" t="s">
        <v>36</v>
      </c>
      <c r="E27" t="s">
        <v>33</v>
      </c>
      <c r="F27" t="s">
        <v>25</v>
      </c>
      <c r="G27">
        <v>1</v>
      </c>
      <c r="H27" s="3">
        <v>1470</v>
      </c>
      <c r="I27" t="s">
        <v>81</v>
      </c>
      <c r="J27" t="s">
        <v>42</v>
      </c>
      <c r="K27" s="3">
        <f t="shared" si="0"/>
        <v>1470</v>
      </c>
      <c r="L27" s="4">
        <f t="shared" si="1"/>
        <v>0.05</v>
      </c>
      <c r="M27" s="3">
        <f t="shared" si="7"/>
        <v>1396.5</v>
      </c>
      <c r="N27" t="e">
        <f t="shared" ca="1" si="2"/>
        <v>#NAME?</v>
      </c>
      <c r="O27" t="str">
        <f t="shared" si="3"/>
        <v>January</v>
      </c>
      <c r="P27">
        <f t="shared" si="4"/>
        <v>1</v>
      </c>
      <c r="Q27">
        <f t="shared" si="5"/>
        <v>2025</v>
      </c>
      <c r="R27" t="str">
        <f t="shared" si="6"/>
        <v>Q1</v>
      </c>
    </row>
    <row r="28" spans="1:18" x14ac:dyDescent="0.3">
      <c r="A28" t="s">
        <v>82</v>
      </c>
      <c r="B28" s="2">
        <v>45910</v>
      </c>
      <c r="C28" t="s">
        <v>11</v>
      </c>
      <c r="D28" t="s">
        <v>57</v>
      </c>
      <c r="E28" t="s">
        <v>30</v>
      </c>
      <c r="F28" t="s">
        <v>25</v>
      </c>
      <c r="G28">
        <v>4</v>
      </c>
      <c r="H28" s="3">
        <v>2460</v>
      </c>
      <c r="I28" t="s">
        <v>53</v>
      </c>
      <c r="J28" t="s">
        <v>42</v>
      </c>
      <c r="K28" s="3">
        <f t="shared" si="0"/>
        <v>9840</v>
      </c>
      <c r="L28" s="4">
        <f t="shared" si="1"/>
        <v>0.05</v>
      </c>
      <c r="M28" s="3">
        <f t="shared" si="7"/>
        <v>9348</v>
      </c>
      <c r="N28" t="e">
        <f t="shared" ca="1" si="2"/>
        <v>#NAME?</v>
      </c>
      <c r="O28" t="str">
        <f t="shared" si="3"/>
        <v>September</v>
      </c>
      <c r="P28">
        <f t="shared" si="4"/>
        <v>9</v>
      </c>
      <c r="Q28">
        <f t="shared" si="5"/>
        <v>2025</v>
      </c>
      <c r="R28" t="str">
        <f t="shared" si="6"/>
        <v>Q3</v>
      </c>
    </row>
    <row r="29" spans="1:18" x14ac:dyDescent="0.3">
      <c r="A29" t="s">
        <v>83</v>
      </c>
      <c r="B29" s="2">
        <v>45893</v>
      </c>
      <c r="C29" t="s">
        <v>11</v>
      </c>
      <c r="D29" t="s">
        <v>23</v>
      </c>
      <c r="E29" t="s">
        <v>19</v>
      </c>
      <c r="F29" t="s">
        <v>14</v>
      </c>
      <c r="G29">
        <v>1</v>
      </c>
      <c r="H29" s="3">
        <v>4450</v>
      </c>
      <c r="I29" t="s">
        <v>20</v>
      </c>
      <c r="J29" t="s">
        <v>323</v>
      </c>
      <c r="K29" s="3">
        <f t="shared" si="0"/>
        <v>4450</v>
      </c>
      <c r="L29" s="4">
        <f t="shared" si="1"/>
        <v>0.05</v>
      </c>
      <c r="M29" s="3">
        <f t="shared" si="7"/>
        <v>4227.5</v>
      </c>
      <c r="N29" t="e">
        <f t="shared" ca="1" si="2"/>
        <v>#NAME?</v>
      </c>
      <c r="O29" t="str">
        <f t="shared" si="3"/>
        <v>August</v>
      </c>
      <c r="P29">
        <f t="shared" si="4"/>
        <v>8</v>
      </c>
      <c r="Q29">
        <f t="shared" si="5"/>
        <v>2025</v>
      </c>
      <c r="R29" t="str">
        <f t="shared" si="6"/>
        <v>Q3</v>
      </c>
    </row>
    <row r="30" spans="1:18" x14ac:dyDescent="0.3">
      <c r="A30" t="s">
        <v>84</v>
      </c>
      <c r="B30" s="2">
        <v>46002</v>
      </c>
      <c r="C30" t="s">
        <v>44</v>
      </c>
      <c r="D30" t="s">
        <v>57</v>
      </c>
      <c r="E30" t="s">
        <v>63</v>
      </c>
      <c r="F30" t="s">
        <v>64</v>
      </c>
      <c r="G30">
        <v>2</v>
      </c>
      <c r="H30" s="3">
        <v>7710</v>
      </c>
      <c r="I30" t="s">
        <v>38</v>
      </c>
      <c r="J30" t="s">
        <v>31</v>
      </c>
      <c r="K30" s="3">
        <f t="shared" si="0"/>
        <v>15420</v>
      </c>
      <c r="L30" s="4">
        <f t="shared" si="1"/>
        <v>0.05</v>
      </c>
      <c r="M30" s="3">
        <f t="shared" si="7"/>
        <v>14649</v>
      </c>
      <c r="N30" t="e">
        <f t="shared" ca="1" si="2"/>
        <v>#NAME?</v>
      </c>
      <c r="O30" t="str">
        <f t="shared" si="3"/>
        <v>December</v>
      </c>
      <c r="P30">
        <f t="shared" si="4"/>
        <v>12</v>
      </c>
      <c r="Q30">
        <f t="shared" si="5"/>
        <v>2025</v>
      </c>
      <c r="R30" t="str">
        <f t="shared" si="6"/>
        <v>Q4</v>
      </c>
    </row>
    <row r="31" spans="1:18" x14ac:dyDescent="0.3">
      <c r="A31" t="s">
        <v>85</v>
      </c>
      <c r="B31" s="2">
        <v>45706</v>
      </c>
      <c r="C31" t="s">
        <v>44</v>
      </c>
      <c r="D31" t="s">
        <v>57</v>
      </c>
      <c r="E31" t="s">
        <v>19</v>
      </c>
      <c r="F31" t="s">
        <v>14</v>
      </c>
      <c r="G31">
        <v>1</v>
      </c>
      <c r="H31" s="3">
        <v>4730</v>
      </c>
      <c r="I31" t="s">
        <v>58</v>
      </c>
      <c r="J31" t="s">
        <v>31</v>
      </c>
      <c r="K31" s="3">
        <f t="shared" si="0"/>
        <v>4730</v>
      </c>
      <c r="L31" s="4">
        <f t="shared" si="1"/>
        <v>0.05</v>
      </c>
      <c r="M31" s="3">
        <f t="shared" si="7"/>
        <v>4493.5</v>
      </c>
      <c r="N31" t="e">
        <f t="shared" ca="1" si="2"/>
        <v>#NAME?</v>
      </c>
      <c r="O31" t="str">
        <f t="shared" si="3"/>
        <v>February</v>
      </c>
      <c r="P31">
        <f t="shared" si="4"/>
        <v>2</v>
      </c>
      <c r="Q31">
        <f t="shared" si="5"/>
        <v>2025</v>
      </c>
      <c r="R31" t="str">
        <f t="shared" si="6"/>
        <v>Q1</v>
      </c>
    </row>
    <row r="32" spans="1:18" x14ac:dyDescent="0.3">
      <c r="A32" t="s">
        <v>86</v>
      </c>
      <c r="B32" s="2">
        <v>45716</v>
      </c>
      <c r="C32" t="s">
        <v>40</v>
      </c>
      <c r="D32" t="s">
        <v>36</v>
      </c>
      <c r="E32" t="s">
        <v>30</v>
      </c>
      <c r="F32" t="s">
        <v>25</v>
      </c>
      <c r="G32">
        <v>1</v>
      </c>
      <c r="H32" s="3">
        <v>2410</v>
      </c>
      <c r="I32" t="s">
        <v>81</v>
      </c>
      <c r="J32" t="s">
        <v>31</v>
      </c>
      <c r="K32" s="3">
        <f t="shared" si="0"/>
        <v>2410</v>
      </c>
      <c r="L32" s="4">
        <f t="shared" si="1"/>
        <v>0.05</v>
      </c>
      <c r="M32" s="3">
        <f t="shared" si="7"/>
        <v>2289.5</v>
      </c>
      <c r="N32" t="e">
        <f t="shared" ca="1" si="2"/>
        <v>#NAME?</v>
      </c>
      <c r="O32" t="str">
        <f t="shared" si="3"/>
        <v>February</v>
      </c>
      <c r="P32">
        <f t="shared" si="4"/>
        <v>2</v>
      </c>
      <c r="Q32">
        <f t="shared" si="5"/>
        <v>2025</v>
      </c>
      <c r="R32" t="str">
        <f t="shared" si="6"/>
        <v>Q1</v>
      </c>
    </row>
    <row r="33" spans="1:18" x14ac:dyDescent="0.3">
      <c r="A33" t="s">
        <v>87</v>
      </c>
      <c r="B33" s="2">
        <v>45827</v>
      </c>
      <c r="C33" t="s">
        <v>44</v>
      </c>
      <c r="D33" t="s">
        <v>18</v>
      </c>
      <c r="E33" t="s">
        <v>19</v>
      </c>
      <c r="F33" t="s">
        <v>14</v>
      </c>
      <c r="G33">
        <v>2</v>
      </c>
      <c r="H33" s="3">
        <v>4480</v>
      </c>
      <c r="I33" t="s">
        <v>81</v>
      </c>
      <c r="J33" t="s">
        <v>16</v>
      </c>
      <c r="K33" s="3">
        <f t="shared" si="0"/>
        <v>8960</v>
      </c>
      <c r="L33" s="4">
        <f t="shared" si="1"/>
        <v>0.05</v>
      </c>
      <c r="M33" s="3">
        <f t="shared" si="7"/>
        <v>8512</v>
      </c>
      <c r="N33" t="e">
        <f t="shared" ca="1" si="2"/>
        <v>#NAME?</v>
      </c>
      <c r="O33" t="str">
        <f t="shared" si="3"/>
        <v>June</v>
      </c>
      <c r="P33">
        <f t="shared" si="4"/>
        <v>6</v>
      </c>
      <c r="Q33">
        <f t="shared" si="5"/>
        <v>2025</v>
      </c>
      <c r="R33" t="str">
        <f t="shared" si="6"/>
        <v>Q2</v>
      </c>
    </row>
    <row r="34" spans="1:18" x14ac:dyDescent="0.3">
      <c r="A34" t="s">
        <v>89</v>
      </c>
      <c r="B34" s="2">
        <v>45845</v>
      </c>
      <c r="C34" t="s">
        <v>40</v>
      </c>
      <c r="D34" t="s">
        <v>36</v>
      </c>
      <c r="E34" t="s">
        <v>19</v>
      </c>
      <c r="F34" t="s">
        <v>14</v>
      </c>
      <c r="G34">
        <v>3</v>
      </c>
      <c r="H34" s="3">
        <v>4620</v>
      </c>
      <c r="I34" t="s">
        <v>65</v>
      </c>
      <c r="J34" t="s">
        <v>42</v>
      </c>
      <c r="K34" s="3">
        <f t="shared" si="0"/>
        <v>13860</v>
      </c>
      <c r="L34" s="4">
        <f t="shared" si="1"/>
        <v>0.05</v>
      </c>
      <c r="M34" s="3">
        <f t="shared" si="7"/>
        <v>13167</v>
      </c>
      <c r="N34" t="e">
        <f t="shared" ca="1" si="2"/>
        <v>#NAME?</v>
      </c>
      <c r="O34" t="str">
        <f t="shared" si="3"/>
        <v>July</v>
      </c>
      <c r="P34">
        <f t="shared" si="4"/>
        <v>7</v>
      </c>
      <c r="Q34">
        <f t="shared" si="5"/>
        <v>2025</v>
      </c>
      <c r="R34" t="str">
        <f t="shared" si="6"/>
        <v>Q3</v>
      </c>
    </row>
    <row r="35" spans="1:18" x14ac:dyDescent="0.3">
      <c r="A35" t="s">
        <v>90</v>
      </c>
      <c r="B35" s="2">
        <v>45928</v>
      </c>
      <c r="C35" t="s">
        <v>44</v>
      </c>
      <c r="D35" t="s">
        <v>36</v>
      </c>
      <c r="E35" t="s">
        <v>33</v>
      </c>
      <c r="F35" t="s">
        <v>25</v>
      </c>
      <c r="G35">
        <v>1</v>
      </c>
      <c r="H35" s="3">
        <v>1510</v>
      </c>
      <c r="I35" t="s">
        <v>20</v>
      </c>
      <c r="J35" t="s">
        <v>31</v>
      </c>
      <c r="K35" s="3">
        <f t="shared" si="0"/>
        <v>1510</v>
      </c>
      <c r="L35" s="4">
        <f t="shared" si="1"/>
        <v>0.05</v>
      </c>
      <c r="M35" s="3">
        <f t="shared" si="7"/>
        <v>1434.5</v>
      </c>
      <c r="N35" t="e">
        <f t="shared" ca="1" si="2"/>
        <v>#NAME?</v>
      </c>
      <c r="O35" t="str">
        <f t="shared" si="3"/>
        <v>September</v>
      </c>
      <c r="P35">
        <f t="shared" si="4"/>
        <v>9</v>
      </c>
      <c r="Q35">
        <f t="shared" si="5"/>
        <v>2025</v>
      </c>
      <c r="R35" t="str">
        <f t="shared" si="6"/>
        <v>Q3</v>
      </c>
    </row>
    <row r="36" spans="1:18" x14ac:dyDescent="0.3">
      <c r="A36" t="s">
        <v>91</v>
      </c>
      <c r="B36" s="2">
        <v>45847</v>
      </c>
      <c r="C36" t="s">
        <v>11</v>
      </c>
      <c r="D36" t="s">
        <v>29</v>
      </c>
      <c r="E36" t="s">
        <v>79</v>
      </c>
      <c r="F36" t="s">
        <v>64</v>
      </c>
      <c r="G36">
        <v>1</v>
      </c>
      <c r="H36" s="3">
        <v>8150</v>
      </c>
      <c r="I36" t="s">
        <v>34</v>
      </c>
      <c r="J36" t="s">
        <v>31</v>
      </c>
      <c r="K36" s="3">
        <f t="shared" si="0"/>
        <v>8150</v>
      </c>
      <c r="L36" s="4">
        <f t="shared" si="1"/>
        <v>0.05</v>
      </c>
      <c r="M36" s="3">
        <f t="shared" si="7"/>
        <v>7742.5</v>
      </c>
      <c r="N36" t="e">
        <f t="shared" ca="1" si="2"/>
        <v>#NAME?</v>
      </c>
      <c r="O36" t="str">
        <f t="shared" si="3"/>
        <v>July</v>
      </c>
      <c r="P36">
        <f t="shared" si="4"/>
        <v>7</v>
      </c>
      <c r="Q36">
        <f t="shared" si="5"/>
        <v>2025</v>
      </c>
      <c r="R36" t="str">
        <f t="shared" si="6"/>
        <v>Q3</v>
      </c>
    </row>
    <row r="37" spans="1:18" x14ac:dyDescent="0.3">
      <c r="A37" t="s">
        <v>92</v>
      </c>
      <c r="B37" s="2">
        <v>45832</v>
      </c>
      <c r="C37" t="s">
        <v>44</v>
      </c>
      <c r="D37" t="s">
        <v>57</v>
      </c>
      <c r="E37" t="s">
        <v>13</v>
      </c>
      <c r="F37" t="s">
        <v>14</v>
      </c>
      <c r="G37">
        <v>1</v>
      </c>
      <c r="H37" s="3">
        <v>18520</v>
      </c>
      <c r="I37" t="s">
        <v>72</v>
      </c>
      <c r="J37" t="s">
        <v>16</v>
      </c>
      <c r="K37" s="3">
        <f t="shared" si="0"/>
        <v>18520</v>
      </c>
      <c r="L37" s="4">
        <f t="shared" si="1"/>
        <v>0.05</v>
      </c>
      <c r="M37" s="3">
        <f t="shared" si="7"/>
        <v>17594</v>
      </c>
      <c r="N37" t="e">
        <f t="shared" ca="1" si="2"/>
        <v>#NAME?</v>
      </c>
      <c r="O37" t="str">
        <f t="shared" si="3"/>
        <v>June</v>
      </c>
      <c r="P37">
        <f t="shared" si="4"/>
        <v>6</v>
      </c>
      <c r="Q37">
        <f t="shared" si="5"/>
        <v>2025</v>
      </c>
      <c r="R37" t="str">
        <f t="shared" si="6"/>
        <v>Q2</v>
      </c>
    </row>
    <row r="38" spans="1:18" x14ac:dyDescent="0.3">
      <c r="A38" t="s">
        <v>93</v>
      </c>
      <c r="B38" s="2">
        <v>45708</v>
      </c>
      <c r="C38" t="s">
        <v>11</v>
      </c>
      <c r="D38" t="s">
        <v>18</v>
      </c>
      <c r="E38" t="s">
        <v>30</v>
      </c>
      <c r="F38" t="s">
        <v>25</v>
      </c>
      <c r="G38">
        <v>1</v>
      </c>
      <c r="H38" s="3">
        <v>2660</v>
      </c>
      <c r="I38" t="s">
        <v>94</v>
      </c>
      <c r="J38" t="s">
        <v>31</v>
      </c>
      <c r="K38" s="3">
        <f t="shared" si="0"/>
        <v>2660</v>
      </c>
      <c r="L38" s="4">
        <f t="shared" si="1"/>
        <v>0.05</v>
      </c>
      <c r="M38" s="3">
        <f t="shared" si="7"/>
        <v>2527</v>
      </c>
      <c r="N38" t="e">
        <f t="shared" ca="1" si="2"/>
        <v>#NAME?</v>
      </c>
      <c r="O38" t="str">
        <f t="shared" si="3"/>
        <v>February</v>
      </c>
      <c r="P38">
        <f t="shared" si="4"/>
        <v>2</v>
      </c>
      <c r="Q38">
        <f t="shared" si="5"/>
        <v>2025</v>
      </c>
      <c r="R38" t="str">
        <f t="shared" si="6"/>
        <v>Q1</v>
      </c>
    </row>
    <row r="39" spans="1:18" x14ac:dyDescent="0.3">
      <c r="A39" t="s">
        <v>95</v>
      </c>
      <c r="B39" s="2">
        <v>46021</v>
      </c>
      <c r="C39" t="s">
        <v>28</v>
      </c>
      <c r="D39" t="s">
        <v>12</v>
      </c>
      <c r="E39" t="s">
        <v>13</v>
      </c>
      <c r="F39" t="s">
        <v>14</v>
      </c>
      <c r="G39">
        <v>1</v>
      </c>
      <c r="H39" s="3">
        <v>18430</v>
      </c>
      <c r="I39" t="s">
        <v>75</v>
      </c>
      <c r="J39" t="s">
        <v>323</v>
      </c>
      <c r="K39" s="3">
        <f t="shared" si="0"/>
        <v>18430</v>
      </c>
      <c r="L39" s="4">
        <f t="shared" si="1"/>
        <v>0.05</v>
      </c>
      <c r="M39" s="3">
        <f t="shared" si="7"/>
        <v>17508.5</v>
      </c>
      <c r="N39" t="e">
        <f t="shared" ca="1" si="2"/>
        <v>#NAME?</v>
      </c>
      <c r="O39" t="str">
        <f t="shared" si="3"/>
        <v>December</v>
      </c>
      <c r="P39">
        <f t="shared" si="4"/>
        <v>12</v>
      </c>
      <c r="Q39">
        <f t="shared" si="5"/>
        <v>2025</v>
      </c>
      <c r="R39" t="str">
        <f t="shared" si="6"/>
        <v>Q4</v>
      </c>
    </row>
    <row r="40" spans="1:18" x14ac:dyDescent="0.3">
      <c r="A40" t="s">
        <v>96</v>
      </c>
      <c r="B40" s="2">
        <v>45712</v>
      </c>
      <c r="C40" t="s">
        <v>28</v>
      </c>
      <c r="D40" t="s">
        <v>36</v>
      </c>
      <c r="E40" t="s">
        <v>19</v>
      </c>
      <c r="F40" t="s">
        <v>14</v>
      </c>
      <c r="G40">
        <v>1</v>
      </c>
      <c r="H40" s="3">
        <v>4280</v>
      </c>
      <c r="I40" t="s">
        <v>15</v>
      </c>
      <c r="J40" t="s">
        <v>323</v>
      </c>
      <c r="K40" s="3">
        <f t="shared" si="0"/>
        <v>4280</v>
      </c>
      <c r="L40" s="4">
        <f t="shared" si="1"/>
        <v>0.05</v>
      </c>
      <c r="M40" s="3">
        <f t="shared" si="7"/>
        <v>4066</v>
      </c>
      <c r="N40" t="e">
        <f t="shared" ca="1" si="2"/>
        <v>#NAME?</v>
      </c>
      <c r="O40" t="str">
        <f t="shared" si="3"/>
        <v>February</v>
      </c>
      <c r="P40">
        <f t="shared" si="4"/>
        <v>2</v>
      </c>
      <c r="Q40">
        <f t="shared" si="5"/>
        <v>2025</v>
      </c>
      <c r="R40" t="str">
        <f t="shared" si="6"/>
        <v>Q1</v>
      </c>
    </row>
    <row r="41" spans="1:18" x14ac:dyDescent="0.3">
      <c r="A41" t="s">
        <v>97</v>
      </c>
      <c r="B41" s="2">
        <v>45901</v>
      </c>
      <c r="C41" t="s">
        <v>44</v>
      </c>
      <c r="D41" t="s">
        <v>12</v>
      </c>
      <c r="E41" t="s">
        <v>63</v>
      </c>
      <c r="F41" t="s">
        <v>64</v>
      </c>
      <c r="G41">
        <v>2</v>
      </c>
      <c r="H41" s="3">
        <v>7380</v>
      </c>
      <c r="I41" t="s">
        <v>55</v>
      </c>
      <c r="J41" t="s">
        <v>42</v>
      </c>
      <c r="K41" s="3">
        <f t="shared" si="0"/>
        <v>14760</v>
      </c>
      <c r="L41" s="4">
        <f t="shared" si="1"/>
        <v>0.05</v>
      </c>
      <c r="M41" s="3">
        <f t="shared" si="7"/>
        <v>14022</v>
      </c>
      <c r="N41" t="e">
        <f t="shared" ca="1" si="2"/>
        <v>#NAME?</v>
      </c>
      <c r="O41" t="str">
        <f t="shared" si="3"/>
        <v>September</v>
      </c>
      <c r="P41">
        <f t="shared" si="4"/>
        <v>9</v>
      </c>
      <c r="Q41">
        <f t="shared" si="5"/>
        <v>2025</v>
      </c>
      <c r="R41" t="str">
        <f t="shared" si="6"/>
        <v>Q3</v>
      </c>
    </row>
    <row r="42" spans="1:18" x14ac:dyDescent="0.3">
      <c r="A42" t="s">
        <v>98</v>
      </c>
      <c r="B42" s="2">
        <v>45977</v>
      </c>
      <c r="C42" t="s">
        <v>28</v>
      </c>
      <c r="D42" t="s">
        <v>12</v>
      </c>
      <c r="E42" t="s">
        <v>30</v>
      </c>
      <c r="F42" t="s">
        <v>25</v>
      </c>
      <c r="G42">
        <v>10</v>
      </c>
      <c r="H42" s="3">
        <v>2530</v>
      </c>
      <c r="I42" t="s">
        <v>38</v>
      </c>
      <c r="J42" t="s">
        <v>31</v>
      </c>
      <c r="K42" s="3">
        <f t="shared" si="0"/>
        <v>25300</v>
      </c>
      <c r="L42" s="4">
        <f t="shared" si="1"/>
        <v>0.05</v>
      </c>
      <c r="M42" s="3">
        <f t="shared" si="7"/>
        <v>24035</v>
      </c>
      <c r="N42" t="e">
        <f t="shared" ca="1" si="2"/>
        <v>#NAME?</v>
      </c>
      <c r="O42" t="str">
        <f t="shared" si="3"/>
        <v>November</v>
      </c>
      <c r="P42">
        <f t="shared" si="4"/>
        <v>11</v>
      </c>
      <c r="Q42">
        <f t="shared" si="5"/>
        <v>2025</v>
      </c>
      <c r="R42" t="str">
        <f t="shared" si="6"/>
        <v>Q4</v>
      </c>
    </row>
    <row r="43" spans="1:18" x14ac:dyDescent="0.3">
      <c r="A43" t="s">
        <v>99</v>
      </c>
      <c r="B43" s="2">
        <v>45788</v>
      </c>
      <c r="C43" t="s">
        <v>11</v>
      </c>
      <c r="D43" t="s">
        <v>23</v>
      </c>
      <c r="E43" t="s">
        <v>24</v>
      </c>
      <c r="F43" t="s">
        <v>25</v>
      </c>
      <c r="G43">
        <v>1</v>
      </c>
      <c r="H43" s="3">
        <v>760</v>
      </c>
      <c r="I43" t="s">
        <v>81</v>
      </c>
      <c r="J43" t="s">
        <v>31</v>
      </c>
      <c r="K43" s="3">
        <f t="shared" si="0"/>
        <v>760</v>
      </c>
      <c r="L43" s="4">
        <f t="shared" si="1"/>
        <v>0.05</v>
      </c>
      <c r="M43" s="3">
        <f t="shared" si="7"/>
        <v>722</v>
      </c>
      <c r="N43" t="e">
        <f t="shared" ca="1" si="2"/>
        <v>#NAME?</v>
      </c>
      <c r="O43" t="str">
        <f t="shared" si="3"/>
        <v>May</v>
      </c>
      <c r="P43">
        <f t="shared" si="4"/>
        <v>5</v>
      </c>
      <c r="Q43">
        <f t="shared" si="5"/>
        <v>2025</v>
      </c>
      <c r="R43" t="str">
        <f t="shared" si="6"/>
        <v>Q2</v>
      </c>
    </row>
    <row r="44" spans="1:18" x14ac:dyDescent="0.3">
      <c r="A44" t="s">
        <v>100</v>
      </c>
      <c r="B44" s="2">
        <v>45964</v>
      </c>
      <c r="C44" t="s">
        <v>44</v>
      </c>
      <c r="D44" t="s">
        <v>29</v>
      </c>
      <c r="E44" t="s">
        <v>37</v>
      </c>
      <c r="F44" t="s">
        <v>14</v>
      </c>
      <c r="G44">
        <v>4</v>
      </c>
      <c r="H44" s="3">
        <v>57760</v>
      </c>
      <c r="I44" t="s">
        <v>101</v>
      </c>
      <c r="J44" t="s">
        <v>42</v>
      </c>
      <c r="K44" s="3">
        <f t="shared" si="0"/>
        <v>231040</v>
      </c>
      <c r="L44" s="4">
        <f t="shared" si="1"/>
        <v>0.1</v>
      </c>
      <c r="M44" s="3">
        <f t="shared" si="7"/>
        <v>207936</v>
      </c>
      <c r="N44" t="e">
        <f t="shared" ca="1" si="2"/>
        <v>#NAME?</v>
      </c>
      <c r="O44" t="str">
        <f t="shared" si="3"/>
        <v>November</v>
      </c>
      <c r="P44">
        <f t="shared" si="4"/>
        <v>11</v>
      </c>
      <c r="Q44">
        <f t="shared" si="5"/>
        <v>2025</v>
      </c>
      <c r="R44" t="str">
        <f t="shared" si="6"/>
        <v>Q4</v>
      </c>
    </row>
    <row r="45" spans="1:18" x14ac:dyDescent="0.3">
      <c r="A45" t="s">
        <v>102</v>
      </c>
      <c r="B45" s="2">
        <v>45792</v>
      </c>
      <c r="C45" t="s">
        <v>11</v>
      </c>
      <c r="D45" t="s">
        <v>12</v>
      </c>
      <c r="E45" t="s">
        <v>37</v>
      </c>
      <c r="F45" t="s">
        <v>14</v>
      </c>
      <c r="G45">
        <v>1</v>
      </c>
      <c r="H45" s="3">
        <v>55060</v>
      </c>
      <c r="I45" t="s">
        <v>69</v>
      </c>
      <c r="J45" t="s">
        <v>16</v>
      </c>
      <c r="K45" s="3">
        <f t="shared" si="0"/>
        <v>55060</v>
      </c>
      <c r="L45" s="4">
        <f t="shared" si="1"/>
        <v>0.1</v>
      </c>
      <c r="M45" s="3">
        <f t="shared" si="7"/>
        <v>49554</v>
      </c>
      <c r="N45" t="e">
        <f t="shared" ca="1" si="2"/>
        <v>#NAME?</v>
      </c>
      <c r="O45" t="str">
        <f t="shared" si="3"/>
        <v>May</v>
      </c>
      <c r="P45">
        <f t="shared" si="4"/>
        <v>5</v>
      </c>
      <c r="Q45">
        <f t="shared" si="5"/>
        <v>2025</v>
      </c>
      <c r="R45" t="str">
        <f t="shared" si="6"/>
        <v>Q2</v>
      </c>
    </row>
    <row r="46" spans="1:18" x14ac:dyDescent="0.3">
      <c r="A46" t="s">
        <v>103</v>
      </c>
      <c r="B46" s="2">
        <v>45678</v>
      </c>
      <c r="C46" t="s">
        <v>44</v>
      </c>
      <c r="D46" t="s">
        <v>12</v>
      </c>
      <c r="E46" t="s">
        <v>33</v>
      </c>
      <c r="F46" t="s">
        <v>14</v>
      </c>
      <c r="G46">
        <v>1</v>
      </c>
      <c r="H46" s="3">
        <v>1370</v>
      </c>
      <c r="I46" t="s">
        <v>72</v>
      </c>
      <c r="J46" t="s">
        <v>31</v>
      </c>
      <c r="K46" s="3">
        <f t="shared" si="0"/>
        <v>1370</v>
      </c>
      <c r="L46" s="4">
        <f t="shared" si="1"/>
        <v>0.05</v>
      </c>
      <c r="M46" s="3">
        <f t="shared" si="7"/>
        <v>1301.5</v>
      </c>
      <c r="N46" t="e">
        <f t="shared" ca="1" si="2"/>
        <v>#NAME?</v>
      </c>
      <c r="O46" t="str">
        <f t="shared" si="3"/>
        <v>January</v>
      </c>
      <c r="P46">
        <f t="shared" si="4"/>
        <v>1</v>
      </c>
      <c r="Q46">
        <f t="shared" si="5"/>
        <v>2025</v>
      </c>
      <c r="R46" t="str">
        <f t="shared" si="6"/>
        <v>Q1</v>
      </c>
    </row>
    <row r="47" spans="1:18" x14ac:dyDescent="0.3">
      <c r="A47" t="s">
        <v>105</v>
      </c>
      <c r="B47" s="2">
        <v>45986</v>
      </c>
      <c r="C47" t="s">
        <v>28</v>
      </c>
      <c r="D47" t="s">
        <v>36</v>
      </c>
      <c r="E47" t="s">
        <v>41</v>
      </c>
      <c r="F47" t="s">
        <v>14</v>
      </c>
      <c r="G47">
        <v>4</v>
      </c>
      <c r="H47" s="3">
        <v>30560</v>
      </c>
      <c r="I47" t="s">
        <v>72</v>
      </c>
      <c r="J47" t="s">
        <v>42</v>
      </c>
      <c r="K47" s="3">
        <f t="shared" si="0"/>
        <v>122240</v>
      </c>
      <c r="L47" s="4">
        <f t="shared" si="1"/>
        <v>0.1</v>
      </c>
      <c r="M47" s="3">
        <f t="shared" si="7"/>
        <v>110016</v>
      </c>
      <c r="N47" t="e">
        <f t="shared" ca="1" si="2"/>
        <v>#NAME?</v>
      </c>
      <c r="O47" t="str">
        <f t="shared" si="3"/>
        <v>November</v>
      </c>
      <c r="P47">
        <f t="shared" si="4"/>
        <v>11</v>
      </c>
      <c r="Q47">
        <f t="shared" si="5"/>
        <v>2025</v>
      </c>
      <c r="R47" t="str">
        <f t="shared" si="6"/>
        <v>Q4</v>
      </c>
    </row>
    <row r="48" spans="1:18" x14ac:dyDescent="0.3">
      <c r="A48" t="s">
        <v>106</v>
      </c>
      <c r="B48" s="2">
        <v>45824</v>
      </c>
      <c r="C48" t="s">
        <v>44</v>
      </c>
      <c r="D48" t="s">
        <v>36</v>
      </c>
      <c r="E48" t="s">
        <v>30</v>
      </c>
      <c r="F48" t="s">
        <v>25</v>
      </c>
      <c r="G48">
        <v>2</v>
      </c>
      <c r="H48" s="3">
        <v>2400</v>
      </c>
      <c r="I48" t="s">
        <v>55</v>
      </c>
      <c r="J48" t="s">
        <v>323</v>
      </c>
      <c r="K48" s="3">
        <f t="shared" si="0"/>
        <v>4800</v>
      </c>
      <c r="L48" s="4">
        <f t="shared" si="1"/>
        <v>0.05</v>
      </c>
      <c r="M48" s="3">
        <f t="shared" si="7"/>
        <v>4560</v>
      </c>
      <c r="N48" t="e">
        <f t="shared" ca="1" si="2"/>
        <v>#NAME?</v>
      </c>
      <c r="O48" t="str">
        <f t="shared" si="3"/>
        <v>June</v>
      </c>
      <c r="P48">
        <f t="shared" si="4"/>
        <v>6</v>
      </c>
      <c r="Q48">
        <f t="shared" si="5"/>
        <v>2025</v>
      </c>
      <c r="R48" t="str">
        <f t="shared" si="6"/>
        <v>Q2</v>
      </c>
    </row>
    <row r="49" spans="1:18" x14ac:dyDescent="0.3">
      <c r="A49" t="s">
        <v>107</v>
      </c>
      <c r="B49" s="2">
        <v>45931</v>
      </c>
      <c r="C49" t="s">
        <v>44</v>
      </c>
      <c r="D49" t="s">
        <v>18</v>
      </c>
      <c r="E49" t="s">
        <v>79</v>
      </c>
      <c r="F49" t="s">
        <v>64</v>
      </c>
      <c r="G49">
        <v>10</v>
      </c>
      <c r="H49" s="3">
        <v>8300</v>
      </c>
      <c r="I49" t="s">
        <v>108</v>
      </c>
      <c r="J49" t="s">
        <v>42</v>
      </c>
      <c r="K49" s="3">
        <f t="shared" si="0"/>
        <v>83000</v>
      </c>
      <c r="L49" s="4">
        <f t="shared" si="1"/>
        <v>0.1</v>
      </c>
      <c r="M49" s="3">
        <f t="shared" si="7"/>
        <v>74700</v>
      </c>
      <c r="N49" t="e">
        <f t="shared" ca="1" si="2"/>
        <v>#NAME?</v>
      </c>
      <c r="O49" t="str">
        <f t="shared" si="3"/>
        <v>October</v>
      </c>
      <c r="P49">
        <f t="shared" si="4"/>
        <v>10</v>
      </c>
      <c r="Q49">
        <f t="shared" si="5"/>
        <v>2025</v>
      </c>
      <c r="R49" t="str">
        <f t="shared" si="6"/>
        <v>Q4</v>
      </c>
    </row>
    <row r="50" spans="1:18" x14ac:dyDescent="0.3">
      <c r="A50" t="s">
        <v>109</v>
      </c>
      <c r="B50" s="2">
        <v>45746</v>
      </c>
      <c r="C50" t="s">
        <v>44</v>
      </c>
      <c r="D50" t="s">
        <v>29</v>
      </c>
      <c r="E50" t="s">
        <v>19</v>
      </c>
      <c r="F50" t="s">
        <v>14</v>
      </c>
      <c r="G50">
        <v>2</v>
      </c>
      <c r="H50" s="3">
        <v>4710</v>
      </c>
      <c r="I50" t="s">
        <v>94</v>
      </c>
      <c r="J50" t="s">
        <v>42</v>
      </c>
      <c r="K50" s="3">
        <f t="shared" si="0"/>
        <v>9420</v>
      </c>
      <c r="L50" s="4">
        <f t="shared" si="1"/>
        <v>0.05</v>
      </c>
      <c r="M50" s="3">
        <f t="shared" si="7"/>
        <v>8949</v>
      </c>
      <c r="N50" t="e">
        <f t="shared" ca="1" si="2"/>
        <v>#NAME?</v>
      </c>
      <c r="O50" t="str">
        <f t="shared" si="3"/>
        <v>March</v>
      </c>
      <c r="P50">
        <f t="shared" si="4"/>
        <v>3</v>
      </c>
      <c r="Q50">
        <f t="shared" si="5"/>
        <v>2025</v>
      </c>
      <c r="R50" t="str">
        <f t="shared" si="6"/>
        <v>Q1</v>
      </c>
    </row>
    <row r="51" spans="1:18" x14ac:dyDescent="0.3">
      <c r="A51" t="s">
        <v>110</v>
      </c>
      <c r="B51" s="2">
        <v>45973</v>
      </c>
      <c r="C51" t="s">
        <v>28</v>
      </c>
      <c r="D51" t="s">
        <v>23</v>
      </c>
      <c r="E51" t="s">
        <v>41</v>
      </c>
      <c r="F51" t="s">
        <v>14</v>
      </c>
      <c r="G51">
        <v>1</v>
      </c>
      <c r="H51" s="3">
        <v>25770</v>
      </c>
      <c r="I51" t="s">
        <v>69</v>
      </c>
      <c r="J51" t="s">
        <v>31</v>
      </c>
      <c r="K51" s="3">
        <f t="shared" si="0"/>
        <v>25770</v>
      </c>
      <c r="L51" s="4">
        <f t="shared" si="1"/>
        <v>0.05</v>
      </c>
      <c r="M51" s="3">
        <f t="shared" si="7"/>
        <v>24481.5</v>
      </c>
      <c r="N51" t="e">
        <f t="shared" ca="1" si="2"/>
        <v>#NAME?</v>
      </c>
      <c r="O51" t="str">
        <f t="shared" si="3"/>
        <v>November</v>
      </c>
      <c r="P51">
        <f t="shared" si="4"/>
        <v>11</v>
      </c>
      <c r="Q51">
        <f t="shared" si="5"/>
        <v>2025</v>
      </c>
      <c r="R51" t="str">
        <f t="shared" si="6"/>
        <v>Q4</v>
      </c>
    </row>
    <row r="52" spans="1:18" x14ac:dyDescent="0.3">
      <c r="A52" t="s">
        <v>111</v>
      </c>
      <c r="B52" s="2">
        <v>45671</v>
      </c>
      <c r="C52" t="s">
        <v>40</v>
      </c>
      <c r="D52" t="s">
        <v>18</v>
      </c>
      <c r="E52" t="s">
        <v>19</v>
      </c>
      <c r="F52" t="s">
        <v>14</v>
      </c>
      <c r="G52">
        <v>10</v>
      </c>
      <c r="H52" s="3">
        <v>4790</v>
      </c>
      <c r="I52" t="s">
        <v>81</v>
      </c>
      <c r="J52" t="s">
        <v>323</v>
      </c>
      <c r="K52" s="3">
        <f t="shared" si="0"/>
        <v>47900</v>
      </c>
      <c r="L52" s="4">
        <f t="shared" si="1"/>
        <v>0.05</v>
      </c>
      <c r="M52" s="3">
        <f t="shared" si="7"/>
        <v>45505</v>
      </c>
      <c r="N52" t="e">
        <f t="shared" ca="1" si="2"/>
        <v>#NAME?</v>
      </c>
      <c r="O52" t="str">
        <f t="shared" si="3"/>
        <v>January</v>
      </c>
      <c r="P52">
        <f t="shared" si="4"/>
        <v>1</v>
      </c>
      <c r="Q52">
        <f t="shared" si="5"/>
        <v>2025</v>
      </c>
      <c r="R52" t="str">
        <f t="shared" si="6"/>
        <v>Q1</v>
      </c>
    </row>
    <row r="53" spans="1:18" x14ac:dyDescent="0.3">
      <c r="A53" t="s">
        <v>112</v>
      </c>
      <c r="B53" s="2">
        <v>45899</v>
      </c>
      <c r="C53" t="s">
        <v>11</v>
      </c>
      <c r="D53" t="s">
        <v>57</v>
      </c>
      <c r="E53" t="s">
        <v>30</v>
      </c>
      <c r="F53" t="s">
        <v>25</v>
      </c>
      <c r="G53">
        <v>3</v>
      </c>
      <c r="H53" s="3">
        <v>2740</v>
      </c>
      <c r="I53" t="s">
        <v>53</v>
      </c>
      <c r="J53" t="s">
        <v>42</v>
      </c>
      <c r="K53" s="3">
        <f t="shared" si="0"/>
        <v>8220</v>
      </c>
      <c r="L53" s="4">
        <f t="shared" si="1"/>
        <v>0.05</v>
      </c>
      <c r="M53" s="3">
        <f t="shared" si="7"/>
        <v>7809</v>
      </c>
      <c r="N53" t="e">
        <f t="shared" ca="1" si="2"/>
        <v>#NAME?</v>
      </c>
      <c r="O53" t="str">
        <f t="shared" si="3"/>
        <v>August</v>
      </c>
      <c r="P53">
        <f t="shared" si="4"/>
        <v>8</v>
      </c>
      <c r="Q53">
        <f t="shared" si="5"/>
        <v>2025</v>
      </c>
      <c r="R53" t="str">
        <f t="shared" si="6"/>
        <v>Q3</v>
      </c>
    </row>
    <row r="54" spans="1:18" x14ac:dyDescent="0.3">
      <c r="A54" t="s">
        <v>113</v>
      </c>
      <c r="B54" s="2">
        <v>45922</v>
      </c>
      <c r="C54" t="s">
        <v>44</v>
      </c>
      <c r="D54" t="s">
        <v>57</v>
      </c>
      <c r="E54" t="s">
        <v>24</v>
      </c>
      <c r="F54" t="s">
        <v>25</v>
      </c>
      <c r="G54">
        <v>1</v>
      </c>
      <c r="H54" s="3">
        <v>870</v>
      </c>
      <c r="I54" t="s">
        <v>55</v>
      </c>
      <c r="J54" t="s">
        <v>31</v>
      </c>
      <c r="K54" s="3">
        <f t="shared" si="0"/>
        <v>870</v>
      </c>
      <c r="L54" s="4">
        <f t="shared" si="1"/>
        <v>0.05</v>
      </c>
      <c r="M54" s="3">
        <f t="shared" si="7"/>
        <v>826.5</v>
      </c>
      <c r="N54" t="e">
        <f t="shared" ca="1" si="2"/>
        <v>#NAME?</v>
      </c>
      <c r="O54" t="str">
        <f t="shared" si="3"/>
        <v>September</v>
      </c>
      <c r="P54">
        <f t="shared" si="4"/>
        <v>9</v>
      </c>
      <c r="Q54">
        <f t="shared" si="5"/>
        <v>2025</v>
      </c>
      <c r="R54" t="str">
        <f t="shared" si="6"/>
        <v>Q3</v>
      </c>
    </row>
    <row r="55" spans="1:18" x14ac:dyDescent="0.3">
      <c r="A55" t="s">
        <v>114</v>
      </c>
      <c r="B55" s="2">
        <v>46003</v>
      </c>
      <c r="C55" t="s">
        <v>40</v>
      </c>
      <c r="D55" t="s">
        <v>29</v>
      </c>
      <c r="E55" t="s">
        <v>45</v>
      </c>
      <c r="F55" t="s">
        <v>46</v>
      </c>
      <c r="G55">
        <v>1</v>
      </c>
      <c r="H55" s="3">
        <v>12670</v>
      </c>
      <c r="I55" t="s">
        <v>65</v>
      </c>
      <c r="J55" t="s">
        <v>42</v>
      </c>
      <c r="K55" s="3">
        <f t="shared" si="0"/>
        <v>12670</v>
      </c>
      <c r="L55" s="4">
        <f t="shared" si="1"/>
        <v>0.05</v>
      </c>
      <c r="M55" s="3">
        <f t="shared" si="7"/>
        <v>12036.5</v>
      </c>
      <c r="N55" t="e">
        <f t="shared" ca="1" si="2"/>
        <v>#NAME?</v>
      </c>
      <c r="O55" t="str">
        <f t="shared" si="3"/>
        <v>December</v>
      </c>
      <c r="P55">
        <f t="shared" si="4"/>
        <v>12</v>
      </c>
      <c r="Q55">
        <f t="shared" si="5"/>
        <v>2025</v>
      </c>
      <c r="R55" t="str">
        <f t="shared" si="6"/>
        <v>Q4</v>
      </c>
    </row>
    <row r="56" spans="1:18" x14ac:dyDescent="0.3">
      <c r="A56" t="s">
        <v>115</v>
      </c>
      <c r="B56" s="2">
        <v>45710</v>
      </c>
      <c r="C56" t="s">
        <v>44</v>
      </c>
      <c r="D56" t="s">
        <v>57</v>
      </c>
      <c r="E56" t="s">
        <v>33</v>
      </c>
      <c r="F56" t="s">
        <v>25</v>
      </c>
      <c r="G56">
        <v>4</v>
      </c>
      <c r="H56" s="3">
        <v>1480</v>
      </c>
      <c r="I56" t="s">
        <v>15</v>
      </c>
      <c r="J56" t="s">
        <v>31</v>
      </c>
      <c r="K56" s="3">
        <f t="shared" si="0"/>
        <v>5920</v>
      </c>
      <c r="L56" s="4">
        <f t="shared" si="1"/>
        <v>0.05</v>
      </c>
      <c r="M56" s="3">
        <f t="shared" si="7"/>
        <v>5624</v>
      </c>
      <c r="N56" t="e">
        <f t="shared" ca="1" si="2"/>
        <v>#NAME?</v>
      </c>
      <c r="O56" t="str">
        <f t="shared" si="3"/>
        <v>February</v>
      </c>
      <c r="P56">
        <f t="shared" si="4"/>
        <v>2</v>
      </c>
      <c r="Q56">
        <f t="shared" si="5"/>
        <v>2025</v>
      </c>
      <c r="R56" t="str">
        <f t="shared" si="6"/>
        <v>Q1</v>
      </c>
    </row>
    <row r="57" spans="1:18" x14ac:dyDescent="0.3">
      <c r="A57" t="s">
        <v>116</v>
      </c>
      <c r="B57" s="2">
        <v>45997</v>
      </c>
      <c r="C57" t="s">
        <v>44</v>
      </c>
      <c r="D57" t="s">
        <v>12</v>
      </c>
      <c r="E57" t="s">
        <v>19</v>
      </c>
      <c r="F57" t="s">
        <v>14</v>
      </c>
      <c r="G57">
        <v>2</v>
      </c>
      <c r="H57" s="3">
        <v>4160</v>
      </c>
      <c r="I57" t="s">
        <v>108</v>
      </c>
      <c r="J57" t="s">
        <v>323</v>
      </c>
      <c r="K57" s="3">
        <f t="shared" si="0"/>
        <v>8320</v>
      </c>
      <c r="L57" s="4">
        <f t="shared" si="1"/>
        <v>0.05</v>
      </c>
      <c r="M57" s="3">
        <f t="shared" si="7"/>
        <v>7904</v>
      </c>
      <c r="N57" t="e">
        <f t="shared" ca="1" si="2"/>
        <v>#NAME?</v>
      </c>
      <c r="O57" t="str">
        <f t="shared" si="3"/>
        <v>December</v>
      </c>
      <c r="P57">
        <f t="shared" si="4"/>
        <v>12</v>
      </c>
      <c r="Q57">
        <f t="shared" si="5"/>
        <v>2025</v>
      </c>
      <c r="R57" t="str">
        <f t="shared" si="6"/>
        <v>Q4</v>
      </c>
    </row>
    <row r="58" spans="1:18" x14ac:dyDescent="0.3">
      <c r="A58" t="s">
        <v>117</v>
      </c>
      <c r="B58" s="2">
        <v>45749</v>
      </c>
      <c r="C58" t="s">
        <v>44</v>
      </c>
      <c r="D58" t="s">
        <v>12</v>
      </c>
      <c r="E58" t="s">
        <v>33</v>
      </c>
      <c r="F58" t="s">
        <v>25</v>
      </c>
      <c r="G58">
        <v>10</v>
      </c>
      <c r="H58" s="3">
        <v>1460</v>
      </c>
      <c r="I58" t="s">
        <v>53</v>
      </c>
      <c r="J58" t="s">
        <v>42</v>
      </c>
      <c r="K58" s="3">
        <f t="shared" si="0"/>
        <v>14600</v>
      </c>
      <c r="L58" s="4">
        <f t="shared" si="1"/>
        <v>0.05</v>
      </c>
      <c r="M58" s="3">
        <f t="shared" si="7"/>
        <v>13870</v>
      </c>
      <c r="N58" t="e">
        <f t="shared" ca="1" si="2"/>
        <v>#NAME?</v>
      </c>
      <c r="O58" t="str">
        <f t="shared" si="3"/>
        <v>April</v>
      </c>
      <c r="P58">
        <f t="shared" si="4"/>
        <v>4</v>
      </c>
      <c r="Q58">
        <f t="shared" si="5"/>
        <v>2025</v>
      </c>
      <c r="R58" t="str">
        <f t="shared" si="6"/>
        <v>Q2</v>
      </c>
    </row>
    <row r="59" spans="1:18" x14ac:dyDescent="0.3">
      <c r="A59" t="s">
        <v>118</v>
      </c>
      <c r="B59" s="2">
        <v>45921</v>
      </c>
      <c r="C59" t="s">
        <v>44</v>
      </c>
      <c r="D59" t="s">
        <v>57</v>
      </c>
      <c r="E59" t="s">
        <v>30</v>
      </c>
      <c r="F59" t="s">
        <v>25</v>
      </c>
      <c r="G59">
        <v>3</v>
      </c>
      <c r="H59" s="3">
        <v>2650</v>
      </c>
      <c r="I59" t="s">
        <v>77</v>
      </c>
      <c r="J59" t="s">
        <v>323</v>
      </c>
      <c r="K59" s="3">
        <f t="shared" si="0"/>
        <v>7950</v>
      </c>
      <c r="L59" s="4">
        <f t="shared" si="1"/>
        <v>0.05</v>
      </c>
      <c r="M59" s="3">
        <f t="shared" si="7"/>
        <v>7552.5</v>
      </c>
      <c r="N59" t="e">
        <f t="shared" ca="1" si="2"/>
        <v>#NAME?</v>
      </c>
      <c r="O59" t="str">
        <f t="shared" si="3"/>
        <v>September</v>
      </c>
      <c r="P59">
        <f t="shared" si="4"/>
        <v>9</v>
      </c>
      <c r="Q59">
        <f t="shared" si="5"/>
        <v>2025</v>
      </c>
      <c r="R59" t="str">
        <f t="shared" si="6"/>
        <v>Q3</v>
      </c>
    </row>
    <row r="60" spans="1:18" x14ac:dyDescent="0.3">
      <c r="A60" t="s">
        <v>119</v>
      </c>
      <c r="B60" s="2">
        <v>45692</v>
      </c>
      <c r="C60" t="s">
        <v>44</v>
      </c>
      <c r="D60" t="s">
        <v>36</v>
      </c>
      <c r="E60" t="s">
        <v>45</v>
      </c>
      <c r="F60" t="s">
        <v>46</v>
      </c>
      <c r="G60">
        <v>2</v>
      </c>
      <c r="H60" s="3">
        <v>13180</v>
      </c>
      <c r="I60" t="s">
        <v>38</v>
      </c>
      <c r="J60" t="s">
        <v>16</v>
      </c>
      <c r="K60" s="3">
        <f t="shared" si="0"/>
        <v>26360</v>
      </c>
      <c r="L60" s="4">
        <f t="shared" si="1"/>
        <v>0.05</v>
      </c>
      <c r="M60" s="3">
        <f t="shared" si="7"/>
        <v>25042</v>
      </c>
      <c r="N60" t="e">
        <f t="shared" ca="1" si="2"/>
        <v>#NAME?</v>
      </c>
      <c r="O60" t="str">
        <f t="shared" si="3"/>
        <v>February</v>
      </c>
      <c r="P60">
        <f t="shared" si="4"/>
        <v>2</v>
      </c>
      <c r="Q60">
        <f t="shared" si="5"/>
        <v>2025</v>
      </c>
      <c r="R60" t="str">
        <f t="shared" si="6"/>
        <v>Q1</v>
      </c>
    </row>
    <row r="61" spans="1:18" x14ac:dyDescent="0.3">
      <c r="A61" t="s">
        <v>120</v>
      </c>
      <c r="B61" s="2">
        <v>45863</v>
      </c>
      <c r="C61" t="s">
        <v>44</v>
      </c>
      <c r="D61" t="s">
        <v>12</v>
      </c>
      <c r="E61" t="s">
        <v>24</v>
      </c>
      <c r="F61" t="s">
        <v>25</v>
      </c>
      <c r="G61">
        <v>10</v>
      </c>
      <c r="H61" s="3">
        <v>800</v>
      </c>
      <c r="I61" t="s">
        <v>58</v>
      </c>
      <c r="J61" t="s">
        <v>16</v>
      </c>
      <c r="K61" s="3">
        <f t="shared" si="0"/>
        <v>8000</v>
      </c>
      <c r="L61" s="4">
        <f t="shared" si="1"/>
        <v>0.05</v>
      </c>
      <c r="M61" s="3">
        <f t="shared" si="7"/>
        <v>7600</v>
      </c>
      <c r="N61" t="e">
        <f t="shared" ca="1" si="2"/>
        <v>#NAME?</v>
      </c>
      <c r="O61" t="str">
        <f t="shared" si="3"/>
        <v>July</v>
      </c>
      <c r="P61">
        <f t="shared" si="4"/>
        <v>7</v>
      </c>
      <c r="Q61">
        <f t="shared" si="5"/>
        <v>2025</v>
      </c>
      <c r="R61" t="str">
        <f t="shared" si="6"/>
        <v>Q3</v>
      </c>
    </row>
    <row r="62" spans="1:18" x14ac:dyDescent="0.3">
      <c r="A62" t="s">
        <v>121</v>
      </c>
      <c r="B62" s="2">
        <v>45738</v>
      </c>
      <c r="C62" t="s">
        <v>28</v>
      </c>
      <c r="D62" t="s">
        <v>12</v>
      </c>
      <c r="E62" t="s">
        <v>37</v>
      </c>
      <c r="F62" t="s">
        <v>14</v>
      </c>
      <c r="G62">
        <v>2</v>
      </c>
      <c r="H62" s="3">
        <v>57170</v>
      </c>
      <c r="I62" t="s">
        <v>94</v>
      </c>
      <c r="J62" t="s">
        <v>31</v>
      </c>
      <c r="K62" s="3">
        <f t="shared" si="0"/>
        <v>114340</v>
      </c>
      <c r="L62" s="4">
        <f t="shared" si="1"/>
        <v>0.1</v>
      </c>
      <c r="M62" s="3">
        <f t="shared" si="7"/>
        <v>102906</v>
      </c>
      <c r="N62" t="e">
        <f t="shared" ca="1" si="2"/>
        <v>#NAME?</v>
      </c>
      <c r="O62" t="str">
        <f t="shared" si="3"/>
        <v>March</v>
      </c>
      <c r="P62">
        <f t="shared" si="4"/>
        <v>3</v>
      </c>
      <c r="Q62">
        <f t="shared" si="5"/>
        <v>2025</v>
      </c>
      <c r="R62" t="str">
        <f t="shared" si="6"/>
        <v>Q1</v>
      </c>
    </row>
    <row r="63" spans="1:18" x14ac:dyDescent="0.3">
      <c r="A63" t="s">
        <v>122</v>
      </c>
      <c r="B63" s="2">
        <v>45707</v>
      </c>
      <c r="C63" t="s">
        <v>11</v>
      </c>
      <c r="D63" t="s">
        <v>36</v>
      </c>
      <c r="E63" t="s">
        <v>19</v>
      </c>
      <c r="F63" t="s">
        <v>14</v>
      </c>
      <c r="G63">
        <v>5</v>
      </c>
      <c r="H63" s="3">
        <v>4410</v>
      </c>
      <c r="I63" t="s">
        <v>75</v>
      </c>
      <c r="J63" t="s">
        <v>42</v>
      </c>
      <c r="K63" s="3">
        <f t="shared" si="0"/>
        <v>22050</v>
      </c>
      <c r="L63" s="4">
        <f t="shared" si="1"/>
        <v>0.05</v>
      </c>
      <c r="M63" s="3">
        <f t="shared" si="7"/>
        <v>20947.5</v>
      </c>
      <c r="N63" t="e">
        <f t="shared" ca="1" si="2"/>
        <v>#NAME?</v>
      </c>
      <c r="O63" t="str">
        <f t="shared" si="3"/>
        <v>February</v>
      </c>
      <c r="P63">
        <f t="shared" si="4"/>
        <v>2</v>
      </c>
      <c r="Q63">
        <f t="shared" si="5"/>
        <v>2025</v>
      </c>
      <c r="R63" t="str">
        <f t="shared" si="6"/>
        <v>Q1</v>
      </c>
    </row>
    <row r="64" spans="1:18" x14ac:dyDescent="0.3">
      <c r="A64" t="s">
        <v>123</v>
      </c>
      <c r="B64" s="2">
        <v>46017</v>
      </c>
      <c r="C64" t="s">
        <v>40</v>
      </c>
      <c r="D64" t="s">
        <v>36</v>
      </c>
      <c r="E64" t="s">
        <v>24</v>
      </c>
      <c r="F64" t="s">
        <v>25</v>
      </c>
      <c r="G64">
        <v>5</v>
      </c>
      <c r="H64" s="3">
        <v>780</v>
      </c>
      <c r="I64" t="s">
        <v>81</v>
      </c>
      <c r="J64" t="s">
        <v>323</v>
      </c>
      <c r="K64" s="3">
        <f t="shared" si="0"/>
        <v>3900</v>
      </c>
      <c r="L64" s="4">
        <f t="shared" si="1"/>
        <v>0.05</v>
      </c>
      <c r="M64" s="3">
        <f t="shared" si="7"/>
        <v>3705</v>
      </c>
      <c r="N64" t="e">
        <f t="shared" ca="1" si="2"/>
        <v>#NAME?</v>
      </c>
      <c r="O64" t="str">
        <f t="shared" si="3"/>
        <v>December</v>
      </c>
      <c r="P64">
        <f t="shared" si="4"/>
        <v>12</v>
      </c>
      <c r="Q64">
        <f t="shared" si="5"/>
        <v>2025</v>
      </c>
      <c r="R64" t="str">
        <f t="shared" si="6"/>
        <v>Q4</v>
      </c>
    </row>
    <row r="65" spans="1:18" x14ac:dyDescent="0.3">
      <c r="A65" t="s">
        <v>124</v>
      </c>
      <c r="B65" s="2">
        <v>45659</v>
      </c>
      <c r="C65" t="s">
        <v>44</v>
      </c>
      <c r="D65" t="s">
        <v>12</v>
      </c>
      <c r="E65" t="s">
        <v>24</v>
      </c>
      <c r="F65" t="s">
        <v>25</v>
      </c>
      <c r="G65">
        <v>3</v>
      </c>
      <c r="H65" s="3">
        <v>730</v>
      </c>
      <c r="I65" t="s">
        <v>34</v>
      </c>
      <c r="J65" t="s">
        <v>323</v>
      </c>
      <c r="K65" s="3">
        <f t="shared" si="0"/>
        <v>2190</v>
      </c>
      <c r="L65" s="4">
        <f t="shared" si="1"/>
        <v>0.05</v>
      </c>
      <c r="M65" s="3">
        <f t="shared" si="7"/>
        <v>2080.5</v>
      </c>
      <c r="N65" t="e">
        <f t="shared" ca="1" si="2"/>
        <v>#NAME?</v>
      </c>
      <c r="O65" t="str">
        <f t="shared" si="3"/>
        <v>January</v>
      </c>
      <c r="P65">
        <f t="shared" si="4"/>
        <v>1</v>
      </c>
      <c r="Q65">
        <f t="shared" si="5"/>
        <v>2025</v>
      </c>
      <c r="R65" t="str">
        <f t="shared" si="6"/>
        <v>Q1</v>
      </c>
    </row>
    <row r="66" spans="1:18" x14ac:dyDescent="0.3">
      <c r="A66" t="s">
        <v>125</v>
      </c>
      <c r="B66" s="2">
        <v>45711</v>
      </c>
      <c r="C66" t="s">
        <v>11</v>
      </c>
      <c r="D66" t="s">
        <v>57</v>
      </c>
      <c r="E66" t="s">
        <v>33</v>
      </c>
      <c r="F66" t="s">
        <v>25</v>
      </c>
      <c r="G66">
        <v>3</v>
      </c>
      <c r="H66" s="3">
        <v>1630</v>
      </c>
      <c r="I66" t="s">
        <v>77</v>
      </c>
      <c r="J66" t="s">
        <v>323</v>
      </c>
      <c r="K66" s="3">
        <f t="shared" ref="K66:K129" si="8">G66*H66</f>
        <v>4890</v>
      </c>
      <c r="L66" s="4">
        <f t="shared" ref="L66:L129" si="9">IF(K66&gt;=50000,10%,5%)</f>
        <v>0.05</v>
      </c>
      <c r="M66" s="3">
        <f t="shared" ref="M66:M129" si="10">K66*(1-L66)</f>
        <v>4645.5</v>
      </c>
      <c r="N66" t="e">
        <f t="shared" ref="N66:N129" ca="1" si="11">_xludf.IFS(M66&gt;=100000,"Excellent",M66&gt;=50000,"Good",M66&gt;=10000,"Average",TRUE,"Low")</f>
        <v>#NAME?</v>
      </c>
      <c r="O66" t="str">
        <f t="shared" ref="O66:O129" si="12">TEXT(B66,"mmmm")</f>
        <v>February</v>
      </c>
      <c r="P66">
        <f t="shared" ref="P66:P129" si="13">MONTH(B66)</f>
        <v>2</v>
      </c>
      <c r="Q66">
        <f t="shared" ref="Q66:Q129" si="14">YEAR(B66)</f>
        <v>2025</v>
      </c>
      <c r="R66" t="str">
        <f t="shared" ref="R66:R129" si="15">"Q"&amp;ROUNDUP(MONTH(B66)/3,0)</f>
        <v>Q1</v>
      </c>
    </row>
    <row r="67" spans="1:18" x14ac:dyDescent="0.3">
      <c r="A67" t="s">
        <v>126</v>
      </c>
      <c r="B67" s="2">
        <v>45763</v>
      </c>
      <c r="C67" t="s">
        <v>28</v>
      </c>
      <c r="D67" t="s">
        <v>57</v>
      </c>
      <c r="E67" t="s">
        <v>13</v>
      </c>
      <c r="F67" t="s">
        <v>14</v>
      </c>
      <c r="G67">
        <v>5</v>
      </c>
      <c r="H67" s="3">
        <v>19360</v>
      </c>
      <c r="I67" t="s">
        <v>324</v>
      </c>
      <c r="J67" t="s">
        <v>16</v>
      </c>
      <c r="K67" s="3">
        <f t="shared" si="8"/>
        <v>96800</v>
      </c>
      <c r="L67" s="4">
        <f t="shared" si="9"/>
        <v>0.1</v>
      </c>
      <c r="M67" s="3">
        <f t="shared" si="10"/>
        <v>87120</v>
      </c>
      <c r="N67" t="e">
        <f t="shared" ca="1" si="11"/>
        <v>#NAME?</v>
      </c>
      <c r="O67" t="str">
        <f t="shared" si="12"/>
        <v>April</v>
      </c>
      <c r="P67">
        <f t="shared" si="13"/>
        <v>4</v>
      </c>
      <c r="Q67">
        <f t="shared" si="14"/>
        <v>2025</v>
      </c>
      <c r="R67" t="str">
        <f t="shared" si="15"/>
        <v>Q2</v>
      </c>
    </row>
    <row r="68" spans="1:18" x14ac:dyDescent="0.3">
      <c r="A68" t="s">
        <v>127</v>
      </c>
      <c r="B68" s="2">
        <v>45917</v>
      </c>
      <c r="C68" t="s">
        <v>40</v>
      </c>
      <c r="D68" t="s">
        <v>12</v>
      </c>
      <c r="E68" t="s">
        <v>63</v>
      </c>
      <c r="F68" t="s">
        <v>64</v>
      </c>
      <c r="G68">
        <v>1</v>
      </c>
      <c r="H68" s="3">
        <v>7920</v>
      </c>
      <c r="I68" t="s">
        <v>94</v>
      </c>
      <c r="J68" t="s">
        <v>323</v>
      </c>
      <c r="K68" s="3">
        <f t="shared" si="8"/>
        <v>7920</v>
      </c>
      <c r="L68" s="4">
        <f t="shared" si="9"/>
        <v>0.05</v>
      </c>
      <c r="M68" s="3">
        <f t="shared" si="10"/>
        <v>7524</v>
      </c>
      <c r="N68" t="e">
        <f t="shared" ca="1" si="11"/>
        <v>#NAME?</v>
      </c>
      <c r="O68" t="str">
        <f t="shared" si="12"/>
        <v>September</v>
      </c>
      <c r="P68">
        <f t="shared" si="13"/>
        <v>9</v>
      </c>
      <c r="Q68">
        <f t="shared" si="14"/>
        <v>2025</v>
      </c>
      <c r="R68" t="str">
        <f t="shared" si="15"/>
        <v>Q3</v>
      </c>
    </row>
    <row r="69" spans="1:18" x14ac:dyDescent="0.3">
      <c r="A69" t="s">
        <v>128</v>
      </c>
      <c r="B69" s="2">
        <v>45967</v>
      </c>
      <c r="C69" t="s">
        <v>28</v>
      </c>
      <c r="D69" t="s">
        <v>12</v>
      </c>
      <c r="E69" t="s">
        <v>19</v>
      </c>
      <c r="F69" t="s">
        <v>14</v>
      </c>
      <c r="G69">
        <v>10</v>
      </c>
      <c r="H69" s="3">
        <v>4920</v>
      </c>
      <c r="I69" t="s">
        <v>69</v>
      </c>
      <c r="J69" t="s">
        <v>323</v>
      </c>
      <c r="K69" s="3">
        <f t="shared" si="8"/>
        <v>49200</v>
      </c>
      <c r="L69" s="4">
        <f t="shared" si="9"/>
        <v>0.05</v>
      </c>
      <c r="M69" s="3">
        <f t="shared" si="10"/>
        <v>46740</v>
      </c>
      <c r="N69" t="e">
        <f t="shared" ca="1" si="11"/>
        <v>#NAME?</v>
      </c>
      <c r="O69" t="str">
        <f t="shared" si="12"/>
        <v>November</v>
      </c>
      <c r="P69">
        <f t="shared" si="13"/>
        <v>11</v>
      </c>
      <c r="Q69">
        <f t="shared" si="14"/>
        <v>2025</v>
      </c>
      <c r="R69" t="str">
        <f t="shared" si="15"/>
        <v>Q4</v>
      </c>
    </row>
    <row r="70" spans="1:18" x14ac:dyDescent="0.3">
      <c r="A70" t="s">
        <v>129</v>
      </c>
      <c r="B70" s="2">
        <v>45848</v>
      </c>
      <c r="C70" t="s">
        <v>44</v>
      </c>
      <c r="D70" t="s">
        <v>57</v>
      </c>
      <c r="E70" t="s">
        <v>13</v>
      </c>
      <c r="F70" t="s">
        <v>14</v>
      </c>
      <c r="G70">
        <v>10</v>
      </c>
      <c r="H70" s="3">
        <v>17690</v>
      </c>
      <c r="I70" t="s">
        <v>20</v>
      </c>
      <c r="J70" t="s">
        <v>16</v>
      </c>
      <c r="K70" s="3">
        <f t="shared" si="8"/>
        <v>176900</v>
      </c>
      <c r="L70" s="4">
        <f t="shared" si="9"/>
        <v>0.1</v>
      </c>
      <c r="M70" s="3">
        <f t="shared" si="10"/>
        <v>159210</v>
      </c>
      <c r="N70" t="e">
        <f t="shared" ca="1" si="11"/>
        <v>#NAME?</v>
      </c>
      <c r="O70" t="str">
        <f t="shared" si="12"/>
        <v>July</v>
      </c>
      <c r="P70">
        <f t="shared" si="13"/>
        <v>7</v>
      </c>
      <c r="Q70">
        <f t="shared" si="14"/>
        <v>2025</v>
      </c>
      <c r="R70" t="str">
        <f t="shared" si="15"/>
        <v>Q3</v>
      </c>
    </row>
    <row r="71" spans="1:18" x14ac:dyDescent="0.3">
      <c r="A71" t="s">
        <v>130</v>
      </c>
      <c r="B71" s="2">
        <v>45875</v>
      </c>
      <c r="C71" t="s">
        <v>44</v>
      </c>
      <c r="D71" t="s">
        <v>23</v>
      </c>
      <c r="E71" t="s">
        <v>45</v>
      </c>
      <c r="F71" t="s">
        <v>46</v>
      </c>
      <c r="G71">
        <v>1</v>
      </c>
      <c r="H71" s="3">
        <v>12080</v>
      </c>
      <c r="I71" t="s">
        <v>38</v>
      </c>
      <c r="J71" t="s">
        <v>323</v>
      </c>
      <c r="K71" s="3">
        <f t="shared" si="8"/>
        <v>12080</v>
      </c>
      <c r="L71" s="4">
        <f t="shared" si="9"/>
        <v>0.05</v>
      </c>
      <c r="M71" s="3">
        <f t="shared" si="10"/>
        <v>11476</v>
      </c>
      <c r="N71" t="e">
        <f t="shared" ca="1" si="11"/>
        <v>#NAME?</v>
      </c>
      <c r="O71" t="str">
        <f t="shared" si="12"/>
        <v>August</v>
      </c>
      <c r="P71">
        <f t="shared" si="13"/>
        <v>8</v>
      </c>
      <c r="Q71">
        <f t="shared" si="14"/>
        <v>2025</v>
      </c>
      <c r="R71" t="str">
        <f t="shared" si="15"/>
        <v>Q3</v>
      </c>
    </row>
    <row r="72" spans="1:18" x14ac:dyDescent="0.3">
      <c r="A72" t="s">
        <v>131</v>
      </c>
      <c r="B72" s="2">
        <v>45701</v>
      </c>
      <c r="C72" t="s">
        <v>40</v>
      </c>
      <c r="D72" t="s">
        <v>18</v>
      </c>
      <c r="E72" t="s">
        <v>79</v>
      </c>
      <c r="F72" t="s">
        <v>64</v>
      </c>
      <c r="G72">
        <v>2</v>
      </c>
      <c r="H72" s="3">
        <v>9410</v>
      </c>
      <c r="I72" t="s">
        <v>72</v>
      </c>
      <c r="J72" t="s">
        <v>323</v>
      </c>
      <c r="K72" s="3">
        <f t="shared" si="8"/>
        <v>18820</v>
      </c>
      <c r="L72" s="4">
        <f t="shared" si="9"/>
        <v>0.05</v>
      </c>
      <c r="M72" s="3">
        <f t="shared" si="10"/>
        <v>17879</v>
      </c>
      <c r="N72" t="e">
        <f t="shared" ca="1" si="11"/>
        <v>#NAME?</v>
      </c>
      <c r="O72" t="str">
        <f t="shared" si="12"/>
        <v>February</v>
      </c>
      <c r="P72">
        <f t="shared" si="13"/>
        <v>2</v>
      </c>
      <c r="Q72">
        <f t="shared" si="14"/>
        <v>2025</v>
      </c>
      <c r="R72" t="str">
        <f t="shared" si="15"/>
        <v>Q1</v>
      </c>
    </row>
    <row r="73" spans="1:18" x14ac:dyDescent="0.3">
      <c r="A73" t="s">
        <v>132</v>
      </c>
      <c r="B73" s="2">
        <v>45819</v>
      </c>
      <c r="C73" t="s">
        <v>28</v>
      </c>
      <c r="D73" t="s">
        <v>57</v>
      </c>
      <c r="E73" t="s">
        <v>30</v>
      </c>
      <c r="F73" t="s">
        <v>25</v>
      </c>
      <c r="G73">
        <v>10</v>
      </c>
      <c r="H73" s="3">
        <v>2310</v>
      </c>
      <c r="I73" t="s">
        <v>69</v>
      </c>
      <c r="J73" t="s">
        <v>31</v>
      </c>
      <c r="K73" s="3">
        <f t="shared" si="8"/>
        <v>23100</v>
      </c>
      <c r="L73" s="4">
        <f t="shared" si="9"/>
        <v>0.05</v>
      </c>
      <c r="M73" s="3">
        <f t="shared" si="10"/>
        <v>21945</v>
      </c>
      <c r="N73" t="e">
        <f t="shared" ca="1" si="11"/>
        <v>#NAME?</v>
      </c>
      <c r="O73" t="str">
        <f t="shared" si="12"/>
        <v>June</v>
      </c>
      <c r="P73">
        <f t="shared" si="13"/>
        <v>6</v>
      </c>
      <c r="Q73">
        <f t="shared" si="14"/>
        <v>2025</v>
      </c>
      <c r="R73" t="str">
        <f t="shared" si="15"/>
        <v>Q2</v>
      </c>
    </row>
    <row r="74" spans="1:18" x14ac:dyDescent="0.3">
      <c r="A74" t="s">
        <v>133</v>
      </c>
      <c r="B74" s="2">
        <v>45859</v>
      </c>
      <c r="C74" t="s">
        <v>40</v>
      </c>
      <c r="D74" t="s">
        <v>36</v>
      </c>
      <c r="E74" t="s">
        <v>37</v>
      </c>
      <c r="F74" t="s">
        <v>14</v>
      </c>
      <c r="G74">
        <v>1</v>
      </c>
      <c r="H74" s="3">
        <v>57830</v>
      </c>
      <c r="I74" t="s">
        <v>75</v>
      </c>
      <c r="J74" t="s">
        <v>16</v>
      </c>
      <c r="K74" s="3">
        <f t="shared" si="8"/>
        <v>57830</v>
      </c>
      <c r="L74" s="4">
        <f t="shared" si="9"/>
        <v>0.1</v>
      </c>
      <c r="M74" s="3">
        <f t="shared" si="10"/>
        <v>52047</v>
      </c>
      <c r="N74" t="e">
        <f t="shared" ca="1" si="11"/>
        <v>#NAME?</v>
      </c>
      <c r="O74" t="str">
        <f t="shared" si="12"/>
        <v>July</v>
      </c>
      <c r="P74">
        <f t="shared" si="13"/>
        <v>7</v>
      </c>
      <c r="Q74">
        <f t="shared" si="14"/>
        <v>2025</v>
      </c>
      <c r="R74" t="str">
        <f t="shared" si="15"/>
        <v>Q3</v>
      </c>
    </row>
    <row r="75" spans="1:18" x14ac:dyDescent="0.3">
      <c r="A75" t="s">
        <v>134</v>
      </c>
      <c r="B75" s="2">
        <v>45927</v>
      </c>
      <c r="C75" t="s">
        <v>28</v>
      </c>
      <c r="D75" t="s">
        <v>29</v>
      </c>
      <c r="E75" t="s">
        <v>19</v>
      </c>
      <c r="F75" t="s">
        <v>14</v>
      </c>
      <c r="G75">
        <v>1</v>
      </c>
      <c r="H75" s="3">
        <v>4480</v>
      </c>
      <c r="I75" t="s">
        <v>15</v>
      </c>
      <c r="J75" t="s">
        <v>31</v>
      </c>
      <c r="K75" s="3">
        <f t="shared" si="8"/>
        <v>4480</v>
      </c>
      <c r="L75" s="4">
        <f t="shared" si="9"/>
        <v>0.05</v>
      </c>
      <c r="M75" s="3">
        <f t="shared" si="10"/>
        <v>4256</v>
      </c>
      <c r="N75" t="e">
        <f t="shared" ca="1" si="11"/>
        <v>#NAME?</v>
      </c>
      <c r="O75" t="str">
        <f t="shared" si="12"/>
        <v>September</v>
      </c>
      <c r="P75">
        <f t="shared" si="13"/>
        <v>9</v>
      </c>
      <c r="Q75">
        <f t="shared" si="14"/>
        <v>2025</v>
      </c>
      <c r="R75" t="str">
        <f t="shared" si="15"/>
        <v>Q3</v>
      </c>
    </row>
    <row r="76" spans="1:18" x14ac:dyDescent="0.3">
      <c r="A76" t="s">
        <v>135</v>
      </c>
      <c r="B76" s="2">
        <v>46008</v>
      </c>
      <c r="C76" t="s">
        <v>40</v>
      </c>
      <c r="D76" t="s">
        <v>23</v>
      </c>
      <c r="E76" t="s">
        <v>37</v>
      </c>
      <c r="F76" t="s">
        <v>14</v>
      </c>
      <c r="G76">
        <v>3</v>
      </c>
      <c r="H76" s="3">
        <v>60150</v>
      </c>
      <c r="I76" t="s">
        <v>49</v>
      </c>
      <c r="J76" t="s">
        <v>31</v>
      </c>
      <c r="K76" s="3">
        <f t="shared" si="8"/>
        <v>180450</v>
      </c>
      <c r="L76" s="4">
        <f t="shared" si="9"/>
        <v>0.1</v>
      </c>
      <c r="M76" s="3">
        <f t="shared" si="10"/>
        <v>162405</v>
      </c>
      <c r="N76" t="e">
        <f t="shared" ca="1" si="11"/>
        <v>#NAME?</v>
      </c>
      <c r="O76" t="str">
        <f t="shared" si="12"/>
        <v>December</v>
      </c>
      <c r="P76">
        <f t="shared" si="13"/>
        <v>12</v>
      </c>
      <c r="Q76">
        <f t="shared" si="14"/>
        <v>2025</v>
      </c>
      <c r="R76" t="str">
        <f t="shared" si="15"/>
        <v>Q4</v>
      </c>
    </row>
    <row r="77" spans="1:18" x14ac:dyDescent="0.3">
      <c r="A77" t="s">
        <v>136</v>
      </c>
      <c r="B77" s="2">
        <v>45961</v>
      </c>
      <c r="C77" t="s">
        <v>40</v>
      </c>
      <c r="D77" t="s">
        <v>29</v>
      </c>
      <c r="E77" t="s">
        <v>79</v>
      </c>
      <c r="F77" t="s">
        <v>64</v>
      </c>
      <c r="G77">
        <v>2</v>
      </c>
      <c r="H77" s="3">
        <v>9220</v>
      </c>
      <c r="I77" t="s">
        <v>72</v>
      </c>
      <c r="J77" t="s">
        <v>16</v>
      </c>
      <c r="K77" s="3">
        <f t="shared" si="8"/>
        <v>18440</v>
      </c>
      <c r="L77" s="4">
        <f t="shared" si="9"/>
        <v>0.05</v>
      </c>
      <c r="M77" s="3">
        <f t="shared" si="10"/>
        <v>17518</v>
      </c>
      <c r="N77" t="e">
        <f t="shared" ca="1" si="11"/>
        <v>#NAME?</v>
      </c>
      <c r="O77" t="str">
        <f t="shared" si="12"/>
        <v>October</v>
      </c>
      <c r="P77">
        <f t="shared" si="13"/>
        <v>10</v>
      </c>
      <c r="Q77">
        <f t="shared" si="14"/>
        <v>2025</v>
      </c>
      <c r="R77" t="str">
        <f t="shared" si="15"/>
        <v>Q4</v>
      </c>
    </row>
    <row r="78" spans="1:18" x14ac:dyDescent="0.3">
      <c r="A78" t="s">
        <v>137</v>
      </c>
      <c r="B78" s="2">
        <v>45928</v>
      </c>
      <c r="C78" t="s">
        <v>40</v>
      </c>
      <c r="D78" t="s">
        <v>18</v>
      </c>
      <c r="E78" t="s">
        <v>45</v>
      </c>
      <c r="F78" t="s">
        <v>46</v>
      </c>
      <c r="G78">
        <v>1</v>
      </c>
      <c r="H78" s="3">
        <v>11640</v>
      </c>
      <c r="I78" t="s">
        <v>77</v>
      </c>
      <c r="J78" t="s">
        <v>16</v>
      </c>
      <c r="K78" s="3">
        <f t="shared" si="8"/>
        <v>11640</v>
      </c>
      <c r="L78" s="4">
        <f t="shared" si="9"/>
        <v>0.05</v>
      </c>
      <c r="M78" s="3">
        <f t="shared" si="10"/>
        <v>11058</v>
      </c>
      <c r="N78" t="e">
        <f t="shared" ca="1" si="11"/>
        <v>#NAME?</v>
      </c>
      <c r="O78" t="str">
        <f t="shared" si="12"/>
        <v>September</v>
      </c>
      <c r="P78">
        <f t="shared" si="13"/>
        <v>9</v>
      </c>
      <c r="Q78">
        <f t="shared" si="14"/>
        <v>2025</v>
      </c>
      <c r="R78" t="str">
        <f t="shared" si="15"/>
        <v>Q3</v>
      </c>
    </row>
    <row r="79" spans="1:18" x14ac:dyDescent="0.3">
      <c r="A79" t="s">
        <v>138</v>
      </c>
      <c r="B79" s="2">
        <v>45872</v>
      </c>
      <c r="C79" t="s">
        <v>40</v>
      </c>
      <c r="D79" t="s">
        <v>12</v>
      </c>
      <c r="E79" t="s">
        <v>33</v>
      </c>
      <c r="F79" t="s">
        <v>25</v>
      </c>
      <c r="G79">
        <v>1</v>
      </c>
      <c r="H79" s="3">
        <v>1450</v>
      </c>
      <c r="I79" t="s">
        <v>77</v>
      </c>
      <c r="J79" t="s">
        <v>31</v>
      </c>
      <c r="K79" s="3">
        <f t="shared" si="8"/>
        <v>1450</v>
      </c>
      <c r="L79" s="4">
        <f t="shared" si="9"/>
        <v>0.05</v>
      </c>
      <c r="M79" s="3">
        <f t="shared" si="10"/>
        <v>1377.5</v>
      </c>
      <c r="N79" t="e">
        <f t="shared" ca="1" si="11"/>
        <v>#NAME?</v>
      </c>
      <c r="O79" t="str">
        <f t="shared" si="12"/>
        <v>August</v>
      </c>
      <c r="P79">
        <f t="shared" si="13"/>
        <v>8</v>
      </c>
      <c r="Q79">
        <f t="shared" si="14"/>
        <v>2025</v>
      </c>
      <c r="R79" t="str">
        <f t="shared" si="15"/>
        <v>Q3</v>
      </c>
    </row>
    <row r="80" spans="1:18" x14ac:dyDescent="0.3">
      <c r="A80" t="s">
        <v>139</v>
      </c>
      <c r="B80" s="2">
        <v>45909</v>
      </c>
      <c r="C80" t="s">
        <v>44</v>
      </c>
      <c r="D80" t="s">
        <v>36</v>
      </c>
      <c r="E80" t="s">
        <v>79</v>
      </c>
      <c r="F80" t="s">
        <v>64</v>
      </c>
      <c r="G80">
        <v>1</v>
      </c>
      <c r="H80" s="3">
        <v>9360</v>
      </c>
      <c r="I80" t="s">
        <v>65</v>
      </c>
      <c r="J80" t="s">
        <v>31</v>
      </c>
      <c r="K80" s="3">
        <f t="shared" si="8"/>
        <v>9360</v>
      </c>
      <c r="L80" s="4">
        <f t="shared" si="9"/>
        <v>0.05</v>
      </c>
      <c r="M80" s="3">
        <f t="shared" si="10"/>
        <v>8892</v>
      </c>
      <c r="N80" t="e">
        <f t="shared" ca="1" si="11"/>
        <v>#NAME?</v>
      </c>
      <c r="O80" t="str">
        <f t="shared" si="12"/>
        <v>September</v>
      </c>
      <c r="P80">
        <f t="shared" si="13"/>
        <v>9</v>
      </c>
      <c r="Q80">
        <f t="shared" si="14"/>
        <v>2025</v>
      </c>
      <c r="R80" t="str">
        <f t="shared" si="15"/>
        <v>Q3</v>
      </c>
    </row>
    <row r="81" spans="1:18" x14ac:dyDescent="0.3">
      <c r="A81" t="s">
        <v>140</v>
      </c>
      <c r="B81" s="2">
        <v>45847</v>
      </c>
      <c r="C81" t="s">
        <v>11</v>
      </c>
      <c r="D81" t="s">
        <v>57</v>
      </c>
      <c r="E81" t="s">
        <v>37</v>
      </c>
      <c r="F81" t="s">
        <v>14</v>
      </c>
      <c r="G81">
        <v>1</v>
      </c>
      <c r="H81" s="3">
        <v>52340</v>
      </c>
      <c r="I81" t="s">
        <v>141</v>
      </c>
      <c r="J81" t="s">
        <v>42</v>
      </c>
      <c r="K81" s="3">
        <f t="shared" si="8"/>
        <v>52340</v>
      </c>
      <c r="L81" s="4">
        <f t="shared" si="9"/>
        <v>0.1</v>
      </c>
      <c r="M81" s="3">
        <f t="shared" si="10"/>
        <v>47106</v>
      </c>
      <c r="N81" t="e">
        <f t="shared" ca="1" si="11"/>
        <v>#NAME?</v>
      </c>
      <c r="O81" t="str">
        <f t="shared" si="12"/>
        <v>July</v>
      </c>
      <c r="P81">
        <f t="shared" si="13"/>
        <v>7</v>
      </c>
      <c r="Q81">
        <f t="shared" si="14"/>
        <v>2025</v>
      </c>
      <c r="R81" t="str">
        <f t="shared" si="15"/>
        <v>Q3</v>
      </c>
    </row>
    <row r="82" spans="1:18" x14ac:dyDescent="0.3">
      <c r="A82" t="s">
        <v>142</v>
      </c>
      <c r="B82" s="2">
        <v>45953</v>
      </c>
      <c r="C82" t="s">
        <v>28</v>
      </c>
      <c r="D82" t="s">
        <v>29</v>
      </c>
      <c r="E82" t="s">
        <v>30</v>
      </c>
      <c r="F82" t="s">
        <v>25</v>
      </c>
      <c r="G82">
        <v>1</v>
      </c>
      <c r="H82" s="3">
        <v>2410</v>
      </c>
      <c r="I82" t="s">
        <v>20</v>
      </c>
      <c r="J82" t="s">
        <v>16</v>
      </c>
      <c r="K82" s="3">
        <f t="shared" si="8"/>
        <v>2410</v>
      </c>
      <c r="L82" s="4">
        <f t="shared" si="9"/>
        <v>0.05</v>
      </c>
      <c r="M82" s="3">
        <f t="shared" si="10"/>
        <v>2289.5</v>
      </c>
      <c r="N82" t="e">
        <f t="shared" ca="1" si="11"/>
        <v>#NAME?</v>
      </c>
      <c r="O82" t="str">
        <f t="shared" si="12"/>
        <v>October</v>
      </c>
      <c r="P82">
        <f t="shared" si="13"/>
        <v>10</v>
      </c>
      <c r="Q82">
        <f t="shared" si="14"/>
        <v>2025</v>
      </c>
      <c r="R82" t="str">
        <f t="shared" si="15"/>
        <v>Q4</v>
      </c>
    </row>
    <row r="83" spans="1:18" x14ac:dyDescent="0.3">
      <c r="A83" t="s">
        <v>143</v>
      </c>
      <c r="B83" s="2">
        <v>45870</v>
      </c>
      <c r="C83" t="s">
        <v>11</v>
      </c>
      <c r="D83" t="s">
        <v>29</v>
      </c>
      <c r="E83" t="s">
        <v>33</v>
      </c>
      <c r="F83" t="s">
        <v>25</v>
      </c>
      <c r="G83">
        <v>10</v>
      </c>
      <c r="H83" s="3">
        <v>1490</v>
      </c>
      <c r="I83" t="s">
        <v>20</v>
      </c>
      <c r="J83" t="s">
        <v>31</v>
      </c>
      <c r="K83" s="3">
        <f t="shared" si="8"/>
        <v>14900</v>
      </c>
      <c r="L83" s="4">
        <f t="shared" si="9"/>
        <v>0.05</v>
      </c>
      <c r="M83" s="3">
        <f t="shared" si="10"/>
        <v>14155</v>
      </c>
      <c r="N83" t="e">
        <f t="shared" ca="1" si="11"/>
        <v>#NAME?</v>
      </c>
      <c r="O83" t="str">
        <f t="shared" si="12"/>
        <v>August</v>
      </c>
      <c r="P83">
        <f t="shared" si="13"/>
        <v>8</v>
      </c>
      <c r="Q83">
        <f t="shared" si="14"/>
        <v>2025</v>
      </c>
      <c r="R83" t="str">
        <f t="shared" si="15"/>
        <v>Q3</v>
      </c>
    </row>
    <row r="84" spans="1:18" x14ac:dyDescent="0.3">
      <c r="A84" t="s">
        <v>144</v>
      </c>
      <c r="B84" s="2">
        <v>45865</v>
      </c>
      <c r="C84" t="s">
        <v>44</v>
      </c>
      <c r="D84" t="s">
        <v>29</v>
      </c>
      <c r="E84" t="s">
        <v>24</v>
      </c>
      <c r="F84" t="s">
        <v>25</v>
      </c>
      <c r="G84">
        <v>5</v>
      </c>
      <c r="H84" s="3">
        <v>830</v>
      </c>
      <c r="I84" t="s">
        <v>38</v>
      </c>
      <c r="J84" t="s">
        <v>16</v>
      </c>
      <c r="K84" s="3">
        <f t="shared" si="8"/>
        <v>4150</v>
      </c>
      <c r="L84" s="4">
        <f t="shared" si="9"/>
        <v>0.05</v>
      </c>
      <c r="M84" s="3">
        <f t="shared" si="10"/>
        <v>3942.5</v>
      </c>
      <c r="N84" t="e">
        <f t="shared" ca="1" si="11"/>
        <v>#NAME?</v>
      </c>
      <c r="O84" t="str">
        <f t="shared" si="12"/>
        <v>July</v>
      </c>
      <c r="P84">
        <f t="shared" si="13"/>
        <v>7</v>
      </c>
      <c r="Q84">
        <f t="shared" si="14"/>
        <v>2025</v>
      </c>
      <c r="R84" t="str">
        <f t="shared" si="15"/>
        <v>Q3</v>
      </c>
    </row>
    <row r="85" spans="1:18" x14ac:dyDescent="0.3">
      <c r="A85" t="s">
        <v>145</v>
      </c>
      <c r="B85" s="2">
        <v>45894</v>
      </c>
      <c r="C85" t="s">
        <v>44</v>
      </c>
      <c r="D85" t="s">
        <v>18</v>
      </c>
      <c r="E85" t="s">
        <v>13</v>
      </c>
      <c r="F85" t="s">
        <v>14</v>
      </c>
      <c r="G85">
        <v>1</v>
      </c>
      <c r="H85" s="3">
        <v>16350</v>
      </c>
      <c r="I85" t="s">
        <v>65</v>
      </c>
      <c r="J85" t="s">
        <v>323</v>
      </c>
      <c r="K85" s="3">
        <f t="shared" si="8"/>
        <v>16350</v>
      </c>
      <c r="L85" s="4">
        <f t="shared" si="9"/>
        <v>0.05</v>
      </c>
      <c r="M85" s="3">
        <f t="shared" si="10"/>
        <v>15532.5</v>
      </c>
      <c r="N85" t="e">
        <f t="shared" ca="1" si="11"/>
        <v>#NAME?</v>
      </c>
      <c r="O85" t="str">
        <f t="shared" si="12"/>
        <v>August</v>
      </c>
      <c r="P85">
        <f t="shared" si="13"/>
        <v>8</v>
      </c>
      <c r="Q85">
        <f t="shared" si="14"/>
        <v>2025</v>
      </c>
      <c r="R85" t="str">
        <f t="shared" si="15"/>
        <v>Q3</v>
      </c>
    </row>
    <row r="86" spans="1:18" x14ac:dyDescent="0.3">
      <c r="A86" t="s">
        <v>146</v>
      </c>
      <c r="B86" s="2">
        <v>45995</v>
      </c>
      <c r="C86" t="s">
        <v>44</v>
      </c>
      <c r="D86" t="s">
        <v>12</v>
      </c>
      <c r="E86" t="s">
        <v>45</v>
      </c>
      <c r="F86" t="s">
        <v>46</v>
      </c>
      <c r="G86">
        <v>2</v>
      </c>
      <c r="H86" s="3">
        <v>12120</v>
      </c>
      <c r="I86" t="s">
        <v>26</v>
      </c>
      <c r="J86" t="s">
        <v>42</v>
      </c>
      <c r="K86" s="3">
        <f t="shared" si="8"/>
        <v>24240</v>
      </c>
      <c r="L86" s="4">
        <f t="shared" si="9"/>
        <v>0.05</v>
      </c>
      <c r="M86" s="3">
        <f t="shared" si="10"/>
        <v>23028</v>
      </c>
      <c r="N86" t="e">
        <f t="shared" ca="1" si="11"/>
        <v>#NAME?</v>
      </c>
      <c r="O86" t="str">
        <f t="shared" si="12"/>
        <v>December</v>
      </c>
      <c r="P86">
        <f t="shared" si="13"/>
        <v>12</v>
      </c>
      <c r="Q86">
        <f t="shared" si="14"/>
        <v>2025</v>
      </c>
      <c r="R86" t="str">
        <f t="shared" si="15"/>
        <v>Q4</v>
      </c>
    </row>
    <row r="87" spans="1:18" x14ac:dyDescent="0.3">
      <c r="A87" t="s">
        <v>147</v>
      </c>
      <c r="B87" s="2">
        <v>45710</v>
      </c>
      <c r="C87" t="s">
        <v>44</v>
      </c>
      <c r="D87" t="s">
        <v>29</v>
      </c>
      <c r="E87" t="s">
        <v>13</v>
      </c>
      <c r="F87" t="s">
        <v>14</v>
      </c>
      <c r="G87">
        <v>1</v>
      </c>
      <c r="H87" s="3">
        <v>18010</v>
      </c>
      <c r="I87" t="s">
        <v>101</v>
      </c>
      <c r="J87" t="s">
        <v>42</v>
      </c>
      <c r="K87" s="3">
        <f t="shared" si="8"/>
        <v>18010</v>
      </c>
      <c r="L87" s="4">
        <f t="shared" si="9"/>
        <v>0.05</v>
      </c>
      <c r="M87" s="3">
        <f t="shared" si="10"/>
        <v>17109.5</v>
      </c>
      <c r="N87" t="e">
        <f t="shared" ca="1" si="11"/>
        <v>#NAME?</v>
      </c>
      <c r="O87" t="str">
        <f t="shared" si="12"/>
        <v>February</v>
      </c>
      <c r="P87">
        <f t="shared" si="13"/>
        <v>2</v>
      </c>
      <c r="Q87">
        <f t="shared" si="14"/>
        <v>2025</v>
      </c>
      <c r="R87" t="str">
        <f t="shared" si="15"/>
        <v>Q1</v>
      </c>
    </row>
    <row r="88" spans="1:18" x14ac:dyDescent="0.3">
      <c r="A88" t="s">
        <v>148</v>
      </c>
      <c r="B88" s="2">
        <v>45937</v>
      </c>
      <c r="C88" t="s">
        <v>11</v>
      </c>
      <c r="D88" t="s">
        <v>23</v>
      </c>
      <c r="E88" t="s">
        <v>41</v>
      </c>
      <c r="F88" t="s">
        <v>14</v>
      </c>
      <c r="G88">
        <v>10</v>
      </c>
      <c r="H88" s="3">
        <v>29050</v>
      </c>
      <c r="I88" t="s">
        <v>94</v>
      </c>
      <c r="J88" t="s">
        <v>16</v>
      </c>
      <c r="K88" s="3">
        <f t="shared" si="8"/>
        <v>290500</v>
      </c>
      <c r="L88" s="4">
        <f t="shared" si="9"/>
        <v>0.1</v>
      </c>
      <c r="M88" s="3">
        <f t="shared" si="10"/>
        <v>261450</v>
      </c>
      <c r="N88" t="e">
        <f t="shared" ca="1" si="11"/>
        <v>#NAME?</v>
      </c>
      <c r="O88" t="str">
        <f t="shared" si="12"/>
        <v>October</v>
      </c>
      <c r="P88">
        <f t="shared" si="13"/>
        <v>10</v>
      </c>
      <c r="Q88">
        <f t="shared" si="14"/>
        <v>2025</v>
      </c>
      <c r="R88" t="str">
        <f t="shared" si="15"/>
        <v>Q4</v>
      </c>
    </row>
    <row r="89" spans="1:18" x14ac:dyDescent="0.3">
      <c r="A89" t="s">
        <v>149</v>
      </c>
      <c r="B89" s="2">
        <v>45874</v>
      </c>
      <c r="C89" t="s">
        <v>44</v>
      </c>
      <c r="D89" t="s">
        <v>29</v>
      </c>
      <c r="E89" t="s">
        <v>37</v>
      </c>
      <c r="F89" t="s">
        <v>14</v>
      </c>
      <c r="G89">
        <v>2</v>
      </c>
      <c r="H89" s="3">
        <v>58370</v>
      </c>
      <c r="I89" t="s">
        <v>34</v>
      </c>
      <c r="J89" t="s">
        <v>16</v>
      </c>
      <c r="K89" s="3">
        <f t="shared" si="8"/>
        <v>116740</v>
      </c>
      <c r="L89" s="4">
        <f t="shared" si="9"/>
        <v>0.1</v>
      </c>
      <c r="M89" s="3">
        <f t="shared" si="10"/>
        <v>105066</v>
      </c>
      <c r="N89" t="e">
        <f t="shared" ca="1" si="11"/>
        <v>#NAME?</v>
      </c>
      <c r="O89" t="str">
        <f t="shared" si="12"/>
        <v>August</v>
      </c>
      <c r="P89">
        <f t="shared" si="13"/>
        <v>8</v>
      </c>
      <c r="Q89">
        <f t="shared" si="14"/>
        <v>2025</v>
      </c>
      <c r="R89" t="str">
        <f t="shared" si="15"/>
        <v>Q3</v>
      </c>
    </row>
    <row r="90" spans="1:18" x14ac:dyDescent="0.3">
      <c r="A90" t="s">
        <v>150</v>
      </c>
      <c r="B90" s="2">
        <v>45909</v>
      </c>
      <c r="C90" t="s">
        <v>11</v>
      </c>
      <c r="D90" t="s">
        <v>23</v>
      </c>
      <c r="E90" t="s">
        <v>63</v>
      </c>
      <c r="F90" t="s">
        <v>64</v>
      </c>
      <c r="G90">
        <v>3</v>
      </c>
      <c r="H90" s="3">
        <v>7100</v>
      </c>
      <c r="I90" t="s">
        <v>141</v>
      </c>
      <c r="J90" t="s">
        <v>323</v>
      </c>
      <c r="K90" s="3">
        <f t="shared" si="8"/>
        <v>21300</v>
      </c>
      <c r="L90" s="4">
        <f t="shared" si="9"/>
        <v>0.05</v>
      </c>
      <c r="M90" s="3">
        <f t="shared" si="10"/>
        <v>20235</v>
      </c>
      <c r="N90" t="e">
        <f t="shared" ca="1" si="11"/>
        <v>#NAME?</v>
      </c>
      <c r="O90" t="str">
        <f t="shared" si="12"/>
        <v>September</v>
      </c>
      <c r="P90">
        <f t="shared" si="13"/>
        <v>9</v>
      </c>
      <c r="Q90">
        <f t="shared" si="14"/>
        <v>2025</v>
      </c>
      <c r="R90" t="str">
        <f t="shared" si="15"/>
        <v>Q3</v>
      </c>
    </row>
    <row r="91" spans="1:18" x14ac:dyDescent="0.3">
      <c r="A91" t="s">
        <v>151</v>
      </c>
      <c r="B91" s="2">
        <v>45845</v>
      </c>
      <c r="C91" t="s">
        <v>28</v>
      </c>
      <c r="D91" t="s">
        <v>23</v>
      </c>
      <c r="E91" t="s">
        <v>19</v>
      </c>
      <c r="F91" t="s">
        <v>14</v>
      </c>
      <c r="G91">
        <v>5</v>
      </c>
      <c r="H91" s="3">
        <v>4170</v>
      </c>
      <c r="I91" t="s">
        <v>94</v>
      </c>
      <c r="J91" t="s">
        <v>16</v>
      </c>
      <c r="K91" s="3">
        <f t="shared" si="8"/>
        <v>20850</v>
      </c>
      <c r="L91" s="4">
        <f t="shared" si="9"/>
        <v>0.05</v>
      </c>
      <c r="M91" s="3">
        <f t="shared" si="10"/>
        <v>19807.5</v>
      </c>
      <c r="N91" t="e">
        <f t="shared" ca="1" si="11"/>
        <v>#NAME?</v>
      </c>
      <c r="O91" t="str">
        <f t="shared" si="12"/>
        <v>July</v>
      </c>
      <c r="P91">
        <f t="shared" si="13"/>
        <v>7</v>
      </c>
      <c r="Q91">
        <f t="shared" si="14"/>
        <v>2025</v>
      </c>
      <c r="R91" t="str">
        <f t="shared" si="15"/>
        <v>Q3</v>
      </c>
    </row>
    <row r="92" spans="1:18" x14ac:dyDescent="0.3">
      <c r="A92" t="s">
        <v>152</v>
      </c>
      <c r="B92" s="2">
        <v>45698</v>
      </c>
      <c r="C92" t="s">
        <v>28</v>
      </c>
      <c r="D92" t="s">
        <v>12</v>
      </c>
      <c r="E92" t="s">
        <v>13</v>
      </c>
      <c r="F92" t="s">
        <v>14</v>
      </c>
      <c r="G92">
        <v>3</v>
      </c>
      <c r="H92" s="3">
        <v>18120</v>
      </c>
      <c r="I92" t="s">
        <v>81</v>
      </c>
      <c r="J92" t="s">
        <v>31</v>
      </c>
      <c r="K92" s="3">
        <f t="shared" si="8"/>
        <v>54360</v>
      </c>
      <c r="L92" s="4">
        <f t="shared" si="9"/>
        <v>0.1</v>
      </c>
      <c r="M92" s="3">
        <f t="shared" si="10"/>
        <v>48924</v>
      </c>
      <c r="N92" t="e">
        <f t="shared" ca="1" si="11"/>
        <v>#NAME?</v>
      </c>
      <c r="O92" t="str">
        <f t="shared" si="12"/>
        <v>February</v>
      </c>
      <c r="P92">
        <f t="shared" si="13"/>
        <v>2</v>
      </c>
      <c r="Q92">
        <f t="shared" si="14"/>
        <v>2025</v>
      </c>
      <c r="R92" t="str">
        <f t="shared" si="15"/>
        <v>Q1</v>
      </c>
    </row>
    <row r="93" spans="1:18" x14ac:dyDescent="0.3">
      <c r="A93" t="s">
        <v>153</v>
      </c>
      <c r="B93" s="2">
        <v>45814</v>
      </c>
      <c r="C93" t="s">
        <v>28</v>
      </c>
      <c r="D93" t="s">
        <v>23</v>
      </c>
      <c r="E93" t="s">
        <v>19</v>
      </c>
      <c r="F93" t="s">
        <v>14</v>
      </c>
      <c r="G93">
        <v>4</v>
      </c>
      <c r="H93" s="3">
        <v>4340</v>
      </c>
      <c r="I93" t="s">
        <v>26</v>
      </c>
      <c r="J93" t="s">
        <v>325</v>
      </c>
      <c r="K93" s="3">
        <f t="shared" si="8"/>
        <v>17360</v>
      </c>
      <c r="L93" s="4">
        <f t="shared" si="9"/>
        <v>0.05</v>
      </c>
      <c r="M93" s="3">
        <f t="shared" si="10"/>
        <v>16492</v>
      </c>
      <c r="N93" t="e">
        <f t="shared" ca="1" si="11"/>
        <v>#NAME?</v>
      </c>
      <c r="O93" t="str">
        <f t="shared" si="12"/>
        <v>June</v>
      </c>
      <c r="P93">
        <f t="shared" si="13"/>
        <v>6</v>
      </c>
      <c r="Q93">
        <f t="shared" si="14"/>
        <v>2025</v>
      </c>
      <c r="R93" t="str">
        <f t="shared" si="15"/>
        <v>Q2</v>
      </c>
    </row>
    <row r="94" spans="1:18" x14ac:dyDescent="0.3">
      <c r="A94" t="s">
        <v>154</v>
      </c>
      <c r="B94" s="2">
        <v>45672</v>
      </c>
      <c r="C94" t="s">
        <v>40</v>
      </c>
      <c r="D94" t="s">
        <v>29</v>
      </c>
      <c r="E94" t="s">
        <v>37</v>
      </c>
      <c r="F94" t="s">
        <v>14</v>
      </c>
      <c r="G94">
        <v>2</v>
      </c>
      <c r="H94" s="3">
        <v>54710</v>
      </c>
      <c r="I94" t="s">
        <v>101</v>
      </c>
      <c r="J94" t="s">
        <v>323</v>
      </c>
      <c r="K94" s="3">
        <f t="shared" si="8"/>
        <v>109420</v>
      </c>
      <c r="L94" s="4">
        <f t="shared" si="9"/>
        <v>0.1</v>
      </c>
      <c r="M94" s="3">
        <f t="shared" si="10"/>
        <v>98478</v>
      </c>
      <c r="N94" t="e">
        <f t="shared" ca="1" si="11"/>
        <v>#NAME?</v>
      </c>
      <c r="O94" t="str">
        <f t="shared" si="12"/>
        <v>January</v>
      </c>
      <c r="P94">
        <f t="shared" si="13"/>
        <v>1</v>
      </c>
      <c r="Q94">
        <f t="shared" si="14"/>
        <v>2025</v>
      </c>
      <c r="R94" t="str">
        <f t="shared" si="15"/>
        <v>Q1</v>
      </c>
    </row>
    <row r="95" spans="1:18" x14ac:dyDescent="0.3">
      <c r="A95" t="s">
        <v>155</v>
      </c>
      <c r="B95" s="2">
        <v>45958</v>
      </c>
      <c r="C95" t="s">
        <v>40</v>
      </c>
      <c r="D95" t="s">
        <v>12</v>
      </c>
      <c r="E95" t="s">
        <v>13</v>
      </c>
      <c r="F95" t="s">
        <v>14</v>
      </c>
      <c r="G95">
        <v>2</v>
      </c>
      <c r="H95" s="3">
        <v>18130</v>
      </c>
      <c r="I95" t="s">
        <v>26</v>
      </c>
      <c r="J95" t="s">
        <v>16</v>
      </c>
      <c r="K95" s="3">
        <f t="shared" si="8"/>
        <v>36260</v>
      </c>
      <c r="L95" s="4">
        <f t="shared" si="9"/>
        <v>0.05</v>
      </c>
      <c r="M95" s="3">
        <f t="shared" si="10"/>
        <v>34447</v>
      </c>
      <c r="N95" t="e">
        <f t="shared" ca="1" si="11"/>
        <v>#NAME?</v>
      </c>
      <c r="O95" t="str">
        <f t="shared" si="12"/>
        <v>October</v>
      </c>
      <c r="P95">
        <f t="shared" si="13"/>
        <v>10</v>
      </c>
      <c r="Q95">
        <f t="shared" si="14"/>
        <v>2025</v>
      </c>
      <c r="R95" t="str">
        <f t="shared" si="15"/>
        <v>Q4</v>
      </c>
    </row>
    <row r="96" spans="1:18" x14ac:dyDescent="0.3">
      <c r="A96" t="s">
        <v>156</v>
      </c>
      <c r="B96" s="2">
        <v>45722</v>
      </c>
      <c r="C96" t="s">
        <v>11</v>
      </c>
      <c r="D96" t="s">
        <v>18</v>
      </c>
      <c r="E96" t="s">
        <v>19</v>
      </c>
      <c r="F96" t="s">
        <v>14</v>
      </c>
      <c r="G96">
        <v>10</v>
      </c>
      <c r="H96" s="3">
        <v>4350</v>
      </c>
      <c r="I96" t="s">
        <v>141</v>
      </c>
      <c r="J96" t="s">
        <v>16</v>
      </c>
      <c r="K96" s="3">
        <f t="shared" si="8"/>
        <v>43500</v>
      </c>
      <c r="L96" s="4">
        <f t="shared" si="9"/>
        <v>0.05</v>
      </c>
      <c r="M96" s="3">
        <f t="shared" si="10"/>
        <v>41325</v>
      </c>
      <c r="N96" t="e">
        <f t="shared" ca="1" si="11"/>
        <v>#NAME?</v>
      </c>
      <c r="O96" t="str">
        <f t="shared" si="12"/>
        <v>March</v>
      </c>
      <c r="P96">
        <f t="shared" si="13"/>
        <v>3</v>
      </c>
      <c r="Q96">
        <f t="shared" si="14"/>
        <v>2025</v>
      </c>
      <c r="R96" t="str">
        <f t="shared" si="15"/>
        <v>Q1</v>
      </c>
    </row>
    <row r="97" spans="1:18" x14ac:dyDescent="0.3">
      <c r="A97" t="s">
        <v>157</v>
      </c>
      <c r="B97" s="2">
        <v>46002</v>
      </c>
      <c r="C97" t="s">
        <v>44</v>
      </c>
      <c r="D97" t="s">
        <v>57</v>
      </c>
      <c r="E97" t="s">
        <v>63</v>
      </c>
      <c r="F97" t="s">
        <v>64</v>
      </c>
      <c r="G97">
        <v>3</v>
      </c>
      <c r="H97" s="3">
        <v>7660</v>
      </c>
      <c r="I97" t="s">
        <v>51</v>
      </c>
      <c r="J97" t="s">
        <v>42</v>
      </c>
      <c r="K97" s="3">
        <f t="shared" si="8"/>
        <v>22980</v>
      </c>
      <c r="L97" s="4">
        <f t="shared" si="9"/>
        <v>0.05</v>
      </c>
      <c r="M97" s="3">
        <f t="shared" si="10"/>
        <v>21831</v>
      </c>
      <c r="N97" t="e">
        <f t="shared" ca="1" si="11"/>
        <v>#NAME?</v>
      </c>
      <c r="O97" t="str">
        <f t="shared" si="12"/>
        <v>December</v>
      </c>
      <c r="P97">
        <f t="shared" si="13"/>
        <v>12</v>
      </c>
      <c r="Q97">
        <f t="shared" si="14"/>
        <v>2025</v>
      </c>
      <c r="R97" t="str">
        <f t="shared" si="15"/>
        <v>Q4</v>
      </c>
    </row>
    <row r="98" spans="1:18" x14ac:dyDescent="0.3">
      <c r="A98" t="s">
        <v>158</v>
      </c>
      <c r="B98" s="2">
        <v>45984</v>
      </c>
      <c r="C98" t="s">
        <v>40</v>
      </c>
      <c r="D98" t="s">
        <v>23</v>
      </c>
      <c r="E98" t="s">
        <v>79</v>
      </c>
      <c r="F98" t="s">
        <v>64</v>
      </c>
      <c r="G98">
        <v>2</v>
      </c>
      <c r="H98" s="3">
        <v>9630</v>
      </c>
      <c r="I98" t="s">
        <v>101</v>
      </c>
      <c r="J98" t="s">
        <v>16</v>
      </c>
      <c r="K98" s="3">
        <f t="shared" si="8"/>
        <v>19260</v>
      </c>
      <c r="L98" s="4">
        <f t="shared" si="9"/>
        <v>0.05</v>
      </c>
      <c r="M98" s="3">
        <f t="shared" si="10"/>
        <v>18297</v>
      </c>
      <c r="N98" t="e">
        <f t="shared" ca="1" si="11"/>
        <v>#NAME?</v>
      </c>
      <c r="O98" t="str">
        <f t="shared" si="12"/>
        <v>November</v>
      </c>
      <c r="P98">
        <f t="shared" si="13"/>
        <v>11</v>
      </c>
      <c r="Q98">
        <f t="shared" si="14"/>
        <v>2025</v>
      </c>
      <c r="R98" t="str">
        <f t="shared" si="15"/>
        <v>Q4</v>
      </c>
    </row>
    <row r="99" spans="1:18" x14ac:dyDescent="0.3">
      <c r="A99" t="s">
        <v>159</v>
      </c>
      <c r="B99" s="2">
        <v>45666</v>
      </c>
      <c r="C99" t="s">
        <v>44</v>
      </c>
      <c r="D99" t="s">
        <v>36</v>
      </c>
      <c r="E99" t="s">
        <v>33</v>
      </c>
      <c r="F99" t="s">
        <v>25</v>
      </c>
      <c r="G99">
        <v>1</v>
      </c>
      <c r="H99" s="3">
        <v>1360</v>
      </c>
      <c r="I99" t="s">
        <v>51</v>
      </c>
      <c r="J99" t="s">
        <v>42</v>
      </c>
      <c r="K99" s="3">
        <f t="shared" si="8"/>
        <v>1360</v>
      </c>
      <c r="L99" s="4">
        <f t="shared" si="9"/>
        <v>0.05</v>
      </c>
      <c r="M99" s="3">
        <f t="shared" si="10"/>
        <v>1292</v>
      </c>
      <c r="N99" t="e">
        <f t="shared" ca="1" si="11"/>
        <v>#NAME?</v>
      </c>
      <c r="O99" t="str">
        <f t="shared" si="12"/>
        <v>January</v>
      </c>
      <c r="P99">
        <f t="shared" si="13"/>
        <v>1</v>
      </c>
      <c r="Q99">
        <f t="shared" si="14"/>
        <v>2025</v>
      </c>
      <c r="R99" t="str">
        <f t="shared" si="15"/>
        <v>Q1</v>
      </c>
    </row>
    <row r="100" spans="1:18" x14ac:dyDescent="0.3">
      <c r="A100" t="s">
        <v>160</v>
      </c>
      <c r="B100" s="2">
        <v>46001</v>
      </c>
      <c r="C100" t="s">
        <v>40</v>
      </c>
      <c r="D100" t="s">
        <v>12</v>
      </c>
      <c r="E100" t="s">
        <v>24</v>
      </c>
      <c r="F100" t="s">
        <v>25</v>
      </c>
      <c r="G100">
        <v>2</v>
      </c>
      <c r="H100" s="3">
        <v>720</v>
      </c>
      <c r="I100" t="s">
        <v>51</v>
      </c>
      <c r="J100" t="s">
        <v>16</v>
      </c>
      <c r="K100" s="3">
        <f t="shared" si="8"/>
        <v>1440</v>
      </c>
      <c r="L100" s="4">
        <f t="shared" si="9"/>
        <v>0.05</v>
      </c>
      <c r="M100" s="3">
        <f t="shared" si="10"/>
        <v>1368</v>
      </c>
      <c r="N100" t="e">
        <f t="shared" ca="1" si="11"/>
        <v>#NAME?</v>
      </c>
      <c r="O100" t="str">
        <f t="shared" si="12"/>
        <v>December</v>
      </c>
      <c r="P100">
        <f t="shared" si="13"/>
        <v>12</v>
      </c>
      <c r="Q100">
        <f t="shared" si="14"/>
        <v>2025</v>
      </c>
      <c r="R100" t="str">
        <f t="shared" si="15"/>
        <v>Q4</v>
      </c>
    </row>
    <row r="101" spans="1:18" x14ac:dyDescent="0.3">
      <c r="A101" t="s">
        <v>161</v>
      </c>
      <c r="B101" s="2">
        <v>45786</v>
      </c>
      <c r="C101" t="s">
        <v>11</v>
      </c>
      <c r="D101" t="s">
        <v>18</v>
      </c>
      <c r="E101" t="s">
        <v>41</v>
      </c>
      <c r="F101" t="s">
        <v>14</v>
      </c>
      <c r="G101">
        <v>1</v>
      </c>
      <c r="H101" s="3">
        <v>28320</v>
      </c>
      <c r="I101" t="s">
        <v>72</v>
      </c>
      <c r="J101" t="s">
        <v>323</v>
      </c>
      <c r="K101" s="3">
        <f t="shared" si="8"/>
        <v>28320</v>
      </c>
      <c r="L101" s="4">
        <f t="shared" si="9"/>
        <v>0.05</v>
      </c>
      <c r="M101" s="3">
        <f t="shared" si="10"/>
        <v>26904</v>
      </c>
      <c r="N101" t="e">
        <f t="shared" ca="1" si="11"/>
        <v>#NAME?</v>
      </c>
      <c r="O101" t="str">
        <f t="shared" si="12"/>
        <v>May</v>
      </c>
      <c r="P101">
        <f t="shared" si="13"/>
        <v>5</v>
      </c>
      <c r="Q101">
        <f t="shared" si="14"/>
        <v>2025</v>
      </c>
      <c r="R101" t="str">
        <f t="shared" si="15"/>
        <v>Q2</v>
      </c>
    </row>
    <row r="102" spans="1:18" x14ac:dyDescent="0.3">
      <c r="A102" t="s">
        <v>162</v>
      </c>
      <c r="B102" s="2">
        <v>45793</v>
      </c>
      <c r="C102" t="s">
        <v>11</v>
      </c>
      <c r="D102" t="s">
        <v>29</v>
      </c>
      <c r="E102" t="s">
        <v>30</v>
      </c>
      <c r="F102" t="s">
        <v>25</v>
      </c>
      <c r="G102">
        <v>3</v>
      </c>
      <c r="H102" s="3">
        <v>2730</v>
      </c>
      <c r="I102" t="s">
        <v>34</v>
      </c>
      <c r="J102" t="s">
        <v>323</v>
      </c>
      <c r="K102" s="3">
        <f t="shared" si="8"/>
        <v>8190</v>
      </c>
      <c r="L102" s="4">
        <f t="shared" si="9"/>
        <v>0.05</v>
      </c>
      <c r="M102" s="3">
        <f t="shared" si="10"/>
        <v>7780.5</v>
      </c>
      <c r="N102" t="e">
        <f t="shared" ca="1" si="11"/>
        <v>#NAME?</v>
      </c>
      <c r="O102" t="str">
        <f t="shared" si="12"/>
        <v>May</v>
      </c>
      <c r="P102">
        <f t="shared" si="13"/>
        <v>5</v>
      </c>
      <c r="Q102">
        <f t="shared" si="14"/>
        <v>2025</v>
      </c>
      <c r="R102" t="str">
        <f t="shared" si="15"/>
        <v>Q2</v>
      </c>
    </row>
    <row r="103" spans="1:18" x14ac:dyDescent="0.3">
      <c r="A103" t="s">
        <v>163</v>
      </c>
      <c r="B103" s="2">
        <v>45720</v>
      </c>
      <c r="C103" t="s">
        <v>44</v>
      </c>
      <c r="D103" t="s">
        <v>18</v>
      </c>
      <c r="E103" t="s">
        <v>24</v>
      </c>
      <c r="F103" t="s">
        <v>25</v>
      </c>
      <c r="G103">
        <v>1</v>
      </c>
      <c r="H103" s="3">
        <v>800</v>
      </c>
      <c r="I103" t="s">
        <v>58</v>
      </c>
      <c r="J103" t="s">
        <v>31</v>
      </c>
      <c r="K103" s="3">
        <f t="shared" si="8"/>
        <v>800</v>
      </c>
      <c r="L103" s="4">
        <f t="shared" si="9"/>
        <v>0.05</v>
      </c>
      <c r="M103" s="3">
        <f t="shared" si="10"/>
        <v>760</v>
      </c>
      <c r="N103" t="e">
        <f t="shared" ca="1" si="11"/>
        <v>#NAME?</v>
      </c>
      <c r="O103" t="str">
        <f t="shared" si="12"/>
        <v>March</v>
      </c>
      <c r="P103">
        <f t="shared" si="13"/>
        <v>3</v>
      </c>
      <c r="Q103">
        <f t="shared" si="14"/>
        <v>2025</v>
      </c>
      <c r="R103" t="str">
        <f t="shared" si="15"/>
        <v>Q1</v>
      </c>
    </row>
    <row r="104" spans="1:18" x14ac:dyDescent="0.3">
      <c r="A104" t="s">
        <v>164</v>
      </c>
      <c r="B104" s="2">
        <v>45796</v>
      </c>
      <c r="C104" t="s">
        <v>28</v>
      </c>
      <c r="D104" t="s">
        <v>36</v>
      </c>
      <c r="E104" t="s">
        <v>45</v>
      </c>
      <c r="F104" t="s">
        <v>46</v>
      </c>
      <c r="G104">
        <v>2</v>
      </c>
      <c r="H104" s="3">
        <v>12010</v>
      </c>
      <c r="I104" t="s">
        <v>69</v>
      </c>
      <c r="J104" t="s">
        <v>16</v>
      </c>
      <c r="K104" s="3">
        <f t="shared" si="8"/>
        <v>24020</v>
      </c>
      <c r="L104" s="4">
        <f t="shared" si="9"/>
        <v>0.05</v>
      </c>
      <c r="M104" s="3">
        <f t="shared" si="10"/>
        <v>22819</v>
      </c>
      <c r="N104" t="e">
        <f t="shared" ca="1" si="11"/>
        <v>#NAME?</v>
      </c>
      <c r="O104" t="str">
        <f t="shared" si="12"/>
        <v>May</v>
      </c>
      <c r="P104">
        <f t="shared" si="13"/>
        <v>5</v>
      </c>
      <c r="Q104">
        <f t="shared" si="14"/>
        <v>2025</v>
      </c>
      <c r="R104" t="str">
        <f t="shared" si="15"/>
        <v>Q2</v>
      </c>
    </row>
    <row r="105" spans="1:18" x14ac:dyDescent="0.3">
      <c r="A105" t="s">
        <v>165</v>
      </c>
      <c r="B105" s="2">
        <v>45738</v>
      </c>
      <c r="C105" t="s">
        <v>11</v>
      </c>
      <c r="D105" t="s">
        <v>18</v>
      </c>
      <c r="E105" t="s">
        <v>33</v>
      </c>
      <c r="F105" t="s">
        <v>25</v>
      </c>
      <c r="G105">
        <v>1</v>
      </c>
      <c r="H105" s="3">
        <v>1460</v>
      </c>
      <c r="I105" t="s">
        <v>81</v>
      </c>
      <c r="J105" t="s">
        <v>16</v>
      </c>
      <c r="K105" s="3">
        <f t="shared" si="8"/>
        <v>1460</v>
      </c>
      <c r="L105" s="4">
        <f t="shared" si="9"/>
        <v>0.05</v>
      </c>
      <c r="M105" s="3">
        <f t="shared" si="10"/>
        <v>1387</v>
      </c>
      <c r="N105" t="e">
        <f t="shared" ca="1" si="11"/>
        <v>#NAME?</v>
      </c>
      <c r="O105" t="str">
        <f t="shared" si="12"/>
        <v>March</v>
      </c>
      <c r="P105">
        <f t="shared" si="13"/>
        <v>3</v>
      </c>
      <c r="Q105">
        <f t="shared" si="14"/>
        <v>2025</v>
      </c>
      <c r="R105" t="str">
        <f t="shared" si="15"/>
        <v>Q1</v>
      </c>
    </row>
    <row r="106" spans="1:18" x14ac:dyDescent="0.3">
      <c r="A106" t="s">
        <v>166</v>
      </c>
      <c r="B106" s="2">
        <v>45820</v>
      </c>
      <c r="C106" t="s">
        <v>40</v>
      </c>
      <c r="D106" t="s">
        <v>36</v>
      </c>
      <c r="E106" t="s">
        <v>19</v>
      </c>
      <c r="F106" t="s">
        <v>14</v>
      </c>
      <c r="G106">
        <v>1</v>
      </c>
      <c r="H106" s="3">
        <v>4340</v>
      </c>
      <c r="I106" t="s">
        <v>53</v>
      </c>
      <c r="J106" t="s">
        <v>16</v>
      </c>
      <c r="K106" s="3">
        <f t="shared" si="8"/>
        <v>4340</v>
      </c>
      <c r="L106" s="4">
        <f t="shared" si="9"/>
        <v>0.05</v>
      </c>
      <c r="M106" s="3">
        <f t="shared" si="10"/>
        <v>4123</v>
      </c>
      <c r="N106" t="e">
        <f t="shared" ca="1" si="11"/>
        <v>#NAME?</v>
      </c>
      <c r="O106" t="str">
        <f t="shared" si="12"/>
        <v>June</v>
      </c>
      <c r="P106">
        <f t="shared" si="13"/>
        <v>6</v>
      </c>
      <c r="Q106">
        <f t="shared" si="14"/>
        <v>2025</v>
      </c>
      <c r="R106" t="str">
        <f t="shared" si="15"/>
        <v>Q2</v>
      </c>
    </row>
    <row r="107" spans="1:18" x14ac:dyDescent="0.3">
      <c r="A107" t="s">
        <v>167</v>
      </c>
      <c r="B107" s="2">
        <v>45946</v>
      </c>
      <c r="C107" t="s">
        <v>28</v>
      </c>
      <c r="D107" t="s">
        <v>23</v>
      </c>
      <c r="E107" t="s">
        <v>30</v>
      </c>
      <c r="F107" t="s">
        <v>25</v>
      </c>
      <c r="G107">
        <v>10</v>
      </c>
      <c r="H107" s="3">
        <v>2630</v>
      </c>
      <c r="I107" t="s">
        <v>38</v>
      </c>
      <c r="J107" t="s">
        <v>42</v>
      </c>
      <c r="K107" s="3">
        <f t="shared" si="8"/>
        <v>26300</v>
      </c>
      <c r="L107" s="4">
        <f t="shared" si="9"/>
        <v>0.05</v>
      </c>
      <c r="M107" s="3">
        <f t="shared" si="10"/>
        <v>24985</v>
      </c>
      <c r="N107" t="e">
        <f t="shared" ca="1" si="11"/>
        <v>#NAME?</v>
      </c>
      <c r="O107" t="str">
        <f t="shared" si="12"/>
        <v>October</v>
      </c>
      <c r="P107">
        <f t="shared" si="13"/>
        <v>10</v>
      </c>
      <c r="Q107">
        <f t="shared" si="14"/>
        <v>2025</v>
      </c>
      <c r="R107" t="str">
        <f t="shared" si="15"/>
        <v>Q4</v>
      </c>
    </row>
    <row r="108" spans="1:18" x14ac:dyDescent="0.3">
      <c r="A108" t="s">
        <v>168</v>
      </c>
      <c r="B108" s="2">
        <v>45918</v>
      </c>
      <c r="C108" t="s">
        <v>11</v>
      </c>
      <c r="D108" t="s">
        <v>18</v>
      </c>
      <c r="E108" t="s">
        <v>37</v>
      </c>
      <c r="F108" t="s">
        <v>14</v>
      </c>
      <c r="G108">
        <v>2</v>
      </c>
      <c r="H108" s="3">
        <v>58640</v>
      </c>
      <c r="I108" t="s">
        <v>58</v>
      </c>
      <c r="J108" t="s">
        <v>323</v>
      </c>
      <c r="K108" s="3">
        <f t="shared" si="8"/>
        <v>117280</v>
      </c>
      <c r="L108" s="4">
        <f t="shared" si="9"/>
        <v>0.1</v>
      </c>
      <c r="M108" s="3">
        <f t="shared" si="10"/>
        <v>105552</v>
      </c>
      <c r="N108" t="e">
        <f t="shared" ca="1" si="11"/>
        <v>#NAME?</v>
      </c>
      <c r="O108" t="str">
        <f t="shared" si="12"/>
        <v>September</v>
      </c>
      <c r="P108">
        <f t="shared" si="13"/>
        <v>9</v>
      </c>
      <c r="Q108">
        <f t="shared" si="14"/>
        <v>2025</v>
      </c>
      <c r="R108" t="str">
        <f t="shared" si="15"/>
        <v>Q3</v>
      </c>
    </row>
    <row r="109" spans="1:18" x14ac:dyDescent="0.3">
      <c r="A109" t="s">
        <v>169</v>
      </c>
      <c r="B109" s="2">
        <v>45888</v>
      </c>
      <c r="C109" t="s">
        <v>28</v>
      </c>
      <c r="D109" t="s">
        <v>29</v>
      </c>
      <c r="E109" t="s">
        <v>63</v>
      </c>
      <c r="F109" t="s">
        <v>64</v>
      </c>
      <c r="G109">
        <v>10</v>
      </c>
      <c r="H109" s="3">
        <v>7060</v>
      </c>
      <c r="I109" t="s">
        <v>53</v>
      </c>
      <c r="J109" t="s">
        <v>31</v>
      </c>
      <c r="K109" s="3">
        <f t="shared" si="8"/>
        <v>70600</v>
      </c>
      <c r="L109" s="4">
        <f t="shared" si="9"/>
        <v>0.1</v>
      </c>
      <c r="M109" s="3">
        <f t="shared" si="10"/>
        <v>63540</v>
      </c>
      <c r="N109" t="e">
        <f t="shared" ca="1" si="11"/>
        <v>#NAME?</v>
      </c>
      <c r="O109" t="str">
        <f t="shared" si="12"/>
        <v>August</v>
      </c>
      <c r="P109">
        <f t="shared" si="13"/>
        <v>8</v>
      </c>
      <c r="Q109">
        <f t="shared" si="14"/>
        <v>2025</v>
      </c>
      <c r="R109" t="str">
        <f t="shared" si="15"/>
        <v>Q3</v>
      </c>
    </row>
    <row r="110" spans="1:18" x14ac:dyDescent="0.3">
      <c r="A110" t="s">
        <v>170</v>
      </c>
      <c r="B110" s="2">
        <v>45698</v>
      </c>
      <c r="C110" t="s">
        <v>44</v>
      </c>
      <c r="D110" t="s">
        <v>23</v>
      </c>
      <c r="E110" t="s">
        <v>45</v>
      </c>
      <c r="F110" t="s">
        <v>46</v>
      </c>
      <c r="G110">
        <v>5</v>
      </c>
      <c r="H110" s="3">
        <v>12790</v>
      </c>
      <c r="I110" t="s">
        <v>38</v>
      </c>
      <c r="J110" t="s">
        <v>323</v>
      </c>
      <c r="K110" s="3">
        <f t="shared" si="8"/>
        <v>63950</v>
      </c>
      <c r="L110" s="4">
        <f t="shared" si="9"/>
        <v>0.1</v>
      </c>
      <c r="M110" s="3">
        <f t="shared" si="10"/>
        <v>57555</v>
      </c>
      <c r="N110" t="e">
        <f t="shared" ca="1" si="11"/>
        <v>#NAME?</v>
      </c>
      <c r="O110" t="str">
        <f t="shared" si="12"/>
        <v>February</v>
      </c>
      <c r="P110">
        <f t="shared" si="13"/>
        <v>2</v>
      </c>
      <c r="Q110">
        <f t="shared" si="14"/>
        <v>2025</v>
      </c>
      <c r="R110" t="str">
        <f t="shared" si="15"/>
        <v>Q1</v>
      </c>
    </row>
    <row r="111" spans="1:18" x14ac:dyDescent="0.3">
      <c r="A111" t="s">
        <v>171</v>
      </c>
      <c r="B111" s="2">
        <v>45685</v>
      </c>
      <c r="C111" t="s">
        <v>40</v>
      </c>
      <c r="D111" t="s">
        <v>18</v>
      </c>
      <c r="E111" t="s">
        <v>30</v>
      </c>
      <c r="F111" t="s">
        <v>25</v>
      </c>
      <c r="G111">
        <v>2</v>
      </c>
      <c r="H111" s="3">
        <v>2370</v>
      </c>
      <c r="I111" t="s">
        <v>55</v>
      </c>
      <c r="J111" t="s">
        <v>323</v>
      </c>
      <c r="K111" s="3">
        <f t="shared" si="8"/>
        <v>4740</v>
      </c>
      <c r="L111" s="4">
        <f t="shared" si="9"/>
        <v>0.05</v>
      </c>
      <c r="M111" s="3">
        <f t="shared" si="10"/>
        <v>4503</v>
      </c>
      <c r="N111" t="e">
        <f t="shared" ca="1" si="11"/>
        <v>#NAME?</v>
      </c>
      <c r="O111" t="str">
        <f t="shared" si="12"/>
        <v>January</v>
      </c>
      <c r="P111">
        <f t="shared" si="13"/>
        <v>1</v>
      </c>
      <c r="Q111">
        <f t="shared" si="14"/>
        <v>2025</v>
      </c>
      <c r="R111" t="str">
        <f t="shared" si="15"/>
        <v>Q1</v>
      </c>
    </row>
    <row r="112" spans="1:18" x14ac:dyDescent="0.3">
      <c r="A112" t="s">
        <v>172</v>
      </c>
      <c r="B112" s="2">
        <v>45792</v>
      </c>
      <c r="C112" t="s">
        <v>11</v>
      </c>
      <c r="D112" t="s">
        <v>23</v>
      </c>
      <c r="E112" t="s">
        <v>19</v>
      </c>
      <c r="F112" t="s">
        <v>14</v>
      </c>
      <c r="G112">
        <v>10</v>
      </c>
      <c r="H112" s="3">
        <v>4660</v>
      </c>
      <c r="I112" t="s">
        <v>72</v>
      </c>
      <c r="J112" t="s">
        <v>323</v>
      </c>
      <c r="K112" s="3">
        <f t="shared" si="8"/>
        <v>46600</v>
      </c>
      <c r="L112" s="4">
        <f t="shared" si="9"/>
        <v>0.05</v>
      </c>
      <c r="M112" s="3">
        <f t="shared" si="10"/>
        <v>44270</v>
      </c>
      <c r="N112" t="e">
        <f t="shared" ca="1" si="11"/>
        <v>#NAME?</v>
      </c>
      <c r="O112" t="str">
        <f t="shared" si="12"/>
        <v>May</v>
      </c>
      <c r="P112">
        <f t="shared" si="13"/>
        <v>5</v>
      </c>
      <c r="Q112">
        <f t="shared" si="14"/>
        <v>2025</v>
      </c>
      <c r="R112" t="str">
        <f t="shared" si="15"/>
        <v>Q2</v>
      </c>
    </row>
    <row r="113" spans="1:18" x14ac:dyDescent="0.3">
      <c r="A113" t="s">
        <v>173</v>
      </c>
      <c r="B113" s="2">
        <v>45858</v>
      </c>
      <c r="C113" t="s">
        <v>28</v>
      </c>
      <c r="D113" t="s">
        <v>12</v>
      </c>
      <c r="E113" t="s">
        <v>45</v>
      </c>
      <c r="F113" t="s">
        <v>46</v>
      </c>
      <c r="G113">
        <v>1</v>
      </c>
      <c r="H113" s="3">
        <v>12590</v>
      </c>
      <c r="I113" t="s">
        <v>49</v>
      </c>
      <c r="J113" t="s">
        <v>323</v>
      </c>
      <c r="K113" s="3">
        <f t="shared" si="8"/>
        <v>12590</v>
      </c>
      <c r="L113" s="4">
        <f t="shared" si="9"/>
        <v>0.05</v>
      </c>
      <c r="M113" s="3">
        <f t="shared" si="10"/>
        <v>11960.5</v>
      </c>
      <c r="N113" t="e">
        <f t="shared" ca="1" si="11"/>
        <v>#NAME?</v>
      </c>
      <c r="O113" t="str">
        <f t="shared" si="12"/>
        <v>July</v>
      </c>
      <c r="P113">
        <f t="shared" si="13"/>
        <v>7</v>
      </c>
      <c r="Q113">
        <f t="shared" si="14"/>
        <v>2025</v>
      </c>
      <c r="R113" t="str">
        <f t="shared" si="15"/>
        <v>Q3</v>
      </c>
    </row>
    <row r="114" spans="1:18" x14ac:dyDescent="0.3">
      <c r="A114" t="s">
        <v>174</v>
      </c>
      <c r="B114" s="2">
        <v>45985</v>
      </c>
      <c r="C114" t="s">
        <v>11</v>
      </c>
      <c r="D114" t="s">
        <v>29</v>
      </c>
      <c r="E114" t="s">
        <v>79</v>
      </c>
      <c r="F114" t="s">
        <v>64</v>
      </c>
      <c r="G114">
        <v>1</v>
      </c>
      <c r="H114" s="3">
        <v>9080</v>
      </c>
      <c r="I114" t="s">
        <v>108</v>
      </c>
      <c r="J114" t="s">
        <v>16</v>
      </c>
      <c r="K114" s="3">
        <f t="shared" si="8"/>
        <v>9080</v>
      </c>
      <c r="L114" s="4">
        <f t="shared" si="9"/>
        <v>0.05</v>
      </c>
      <c r="M114" s="3">
        <f t="shared" si="10"/>
        <v>8626</v>
      </c>
      <c r="N114" t="e">
        <f t="shared" ca="1" si="11"/>
        <v>#NAME?</v>
      </c>
      <c r="O114" t="str">
        <f t="shared" si="12"/>
        <v>November</v>
      </c>
      <c r="P114">
        <f t="shared" si="13"/>
        <v>11</v>
      </c>
      <c r="Q114">
        <f t="shared" si="14"/>
        <v>2025</v>
      </c>
      <c r="R114" t="str">
        <f t="shared" si="15"/>
        <v>Q4</v>
      </c>
    </row>
    <row r="115" spans="1:18" x14ac:dyDescent="0.3">
      <c r="A115" t="s">
        <v>175</v>
      </c>
      <c r="B115" s="2">
        <v>45925</v>
      </c>
      <c r="C115" t="s">
        <v>28</v>
      </c>
      <c r="D115" t="s">
        <v>18</v>
      </c>
      <c r="E115" t="s">
        <v>45</v>
      </c>
      <c r="F115" t="s">
        <v>46</v>
      </c>
      <c r="G115">
        <v>3</v>
      </c>
      <c r="H115" s="3">
        <v>11600</v>
      </c>
      <c r="I115" t="s">
        <v>34</v>
      </c>
      <c r="J115" t="s">
        <v>16</v>
      </c>
      <c r="K115" s="3">
        <f t="shared" si="8"/>
        <v>34800</v>
      </c>
      <c r="L115" s="4">
        <f t="shared" si="9"/>
        <v>0.05</v>
      </c>
      <c r="M115" s="3">
        <f t="shared" si="10"/>
        <v>33060</v>
      </c>
      <c r="N115" t="e">
        <f t="shared" ca="1" si="11"/>
        <v>#NAME?</v>
      </c>
      <c r="O115" t="str">
        <f t="shared" si="12"/>
        <v>September</v>
      </c>
      <c r="P115">
        <f t="shared" si="13"/>
        <v>9</v>
      </c>
      <c r="Q115">
        <f t="shared" si="14"/>
        <v>2025</v>
      </c>
      <c r="R115" t="str">
        <f t="shared" si="15"/>
        <v>Q3</v>
      </c>
    </row>
    <row r="116" spans="1:18" x14ac:dyDescent="0.3">
      <c r="A116" t="s">
        <v>176</v>
      </c>
      <c r="B116" s="2">
        <v>45690</v>
      </c>
      <c r="C116" t="s">
        <v>28</v>
      </c>
      <c r="D116" t="s">
        <v>36</v>
      </c>
      <c r="E116" t="s">
        <v>37</v>
      </c>
      <c r="F116" t="s">
        <v>14</v>
      </c>
      <c r="G116">
        <v>2</v>
      </c>
      <c r="H116" s="3">
        <v>57660</v>
      </c>
      <c r="I116" t="s">
        <v>51</v>
      </c>
      <c r="J116" t="s">
        <v>323</v>
      </c>
      <c r="K116" s="3">
        <f t="shared" si="8"/>
        <v>115320</v>
      </c>
      <c r="L116" s="4">
        <f t="shared" si="9"/>
        <v>0.1</v>
      </c>
      <c r="M116" s="3">
        <f t="shared" si="10"/>
        <v>103788</v>
      </c>
      <c r="N116" t="e">
        <f t="shared" ca="1" si="11"/>
        <v>#NAME?</v>
      </c>
      <c r="O116" t="str">
        <f t="shared" si="12"/>
        <v>February</v>
      </c>
      <c r="P116">
        <f t="shared" si="13"/>
        <v>2</v>
      </c>
      <c r="Q116">
        <f t="shared" si="14"/>
        <v>2025</v>
      </c>
      <c r="R116" t="str">
        <f t="shared" si="15"/>
        <v>Q1</v>
      </c>
    </row>
    <row r="117" spans="1:18" x14ac:dyDescent="0.3">
      <c r="A117" t="s">
        <v>177</v>
      </c>
      <c r="B117" s="2">
        <v>45705</v>
      </c>
      <c r="C117" t="s">
        <v>44</v>
      </c>
      <c r="D117" t="s">
        <v>23</v>
      </c>
      <c r="E117" t="s">
        <v>37</v>
      </c>
      <c r="F117" t="s">
        <v>14</v>
      </c>
      <c r="G117">
        <v>2</v>
      </c>
      <c r="H117" s="3">
        <v>58060</v>
      </c>
      <c r="I117" t="s">
        <v>55</v>
      </c>
      <c r="J117" t="s">
        <v>42</v>
      </c>
      <c r="K117" s="3">
        <f t="shared" si="8"/>
        <v>116120</v>
      </c>
      <c r="L117" s="4">
        <f t="shared" si="9"/>
        <v>0.1</v>
      </c>
      <c r="M117" s="3">
        <f t="shared" si="10"/>
        <v>104508</v>
      </c>
      <c r="N117" t="e">
        <f t="shared" ca="1" si="11"/>
        <v>#NAME?</v>
      </c>
      <c r="O117" t="str">
        <f t="shared" si="12"/>
        <v>February</v>
      </c>
      <c r="P117">
        <f t="shared" si="13"/>
        <v>2</v>
      </c>
      <c r="Q117">
        <f t="shared" si="14"/>
        <v>2025</v>
      </c>
      <c r="R117" t="str">
        <f t="shared" si="15"/>
        <v>Q1</v>
      </c>
    </row>
    <row r="118" spans="1:18" x14ac:dyDescent="0.3">
      <c r="A118" t="s">
        <v>178</v>
      </c>
      <c r="B118" s="2">
        <v>45719</v>
      </c>
      <c r="C118" t="s">
        <v>44</v>
      </c>
      <c r="D118" t="s">
        <v>23</v>
      </c>
      <c r="E118" t="s">
        <v>13</v>
      </c>
      <c r="F118" t="s">
        <v>14</v>
      </c>
      <c r="G118">
        <v>2</v>
      </c>
      <c r="H118" s="3">
        <v>19360</v>
      </c>
      <c r="I118" t="s">
        <v>51</v>
      </c>
      <c r="J118" t="s">
        <v>323</v>
      </c>
      <c r="K118" s="3">
        <f t="shared" si="8"/>
        <v>38720</v>
      </c>
      <c r="L118" s="4">
        <f t="shared" si="9"/>
        <v>0.05</v>
      </c>
      <c r="M118" s="3">
        <f t="shared" si="10"/>
        <v>36784</v>
      </c>
      <c r="N118" t="e">
        <f t="shared" ca="1" si="11"/>
        <v>#NAME?</v>
      </c>
      <c r="O118" t="str">
        <f t="shared" si="12"/>
        <v>March</v>
      </c>
      <c r="P118">
        <f t="shared" si="13"/>
        <v>3</v>
      </c>
      <c r="Q118">
        <f t="shared" si="14"/>
        <v>2025</v>
      </c>
      <c r="R118" t="str">
        <f t="shared" si="15"/>
        <v>Q1</v>
      </c>
    </row>
    <row r="119" spans="1:18" x14ac:dyDescent="0.3">
      <c r="A119" t="s">
        <v>179</v>
      </c>
      <c r="B119" s="2">
        <v>45873</v>
      </c>
      <c r="C119" t="s">
        <v>28</v>
      </c>
      <c r="D119" t="s">
        <v>57</v>
      </c>
      <c r="E119" t="s">
        <v>24</v>
      </c>
      <c r="F119" t="s">
        <v>25</v>
      </c>
      <c r="G119">
        <v>5</v>
      </c>
      <c r="H119" s="3">
        <v>820</v>
      </c>
      <c r="I119" t="s">
        <v>75</v>
      </c>
      <c r="J119" t="s">
        <v>323</v>
      </c>
      <c r="K119" s="3">
        <f t="shared" si="8"/>
        <v>4100</v>
      </c>
      <c r="L119" s="4">
        <f t="shared" si="9"/>
        <v>0.05</v>
      </c>
      <c r="M119" s="3">
        <f t="shared" si="10"/>
        <v>3895</v>
      </c>
      <c r="N119" t="e">
        <f t="shared" ca="1" si="11"/>
        <v>#NAME?</v>
      </c>
      <c r="O119" t="str">
        <f t="shared" si="12"/>
        <v>August</v>
      </c>
      <c r="P119">
        <f t="shared" si="13"/>
        <v>8</v>
      </c>
      <c r="Q119">
        <f t="shared" si="14"/>
        <v>2025</v>
      </c>
      <c r="R119" t="str">
        <f t="shared" si="15"/>
        <v>Q3</v>
      </c>
    </row>
    <row r="120" spans="1:18" x14ac:dyDescent="0.3">
      <c r="A120" t="s">
        <v>180</v>
      </c>
      <c r="B120" s="2">
        <v>45950</v>
      </c>
      <c r="C120" t="s">
        <v>28</v>
      </c>
      <c r="D120" t="s">
        <v>29</v>
      </c>
      <c r="E120" t="s">
        <v>24</v>
      </c>
      <c r="F120" t="s">
        <v>25</v>
      </c>
      <c r="G120">
        <v>1</v>
      </c>
      <c r="H120" s="3">
        <v>720</v>
      </c>
      <c r="I120" t="s">
        <v>55</v>
      </c>
      <c r="J120" t="s">
        <v>31</v>
      </c>
      <c r="K120" s="3">
        <f t="shared" si="8"/>
        <v>720</v>
      </c>
      <c r="L120" s="4">
        <f t="shared" si="9"/>
        <v>0.05</v>
      </c>
      <c r="M120" s="3">
        <f t="shared" si="10"/>
        <v>684</v>
      </c>
      <c r="N120" t="e">
        <f t="shared" ca="1" si="11"/>
        <v>#NAME?</v>
      </c>
      <c r="O120" t="str">
        <f t="shared" si="12"/>
        <v>October</v>
      </c>
      <c r="P120">
        <f t="shared" si="13"/>
        <v>10</v>
      </c>
      <c r="Q120">
        <f t="shared" si="14"/>
        <v>2025</v>
      </c>
      <c r="R120" t="str">
        <f t="shared" si="15"/>
        <v>Q4</v>
      </c>
    </row>
    <row r="121" spans="1:18" x14ac:dyDescent="0.3">
      <c r="A121" t="s">
        <v>181</v>
      </c>
      <c r="B121" s="2">
        <v>45756</v>
      </c>
      <c r="C121" t="s">
        <v>40</v>
      </c>
      <c r="D121" t="s">
        <v>18</v>
      </c>
      <c r="E121" t="s">
        <v>19</v>
      </c>
      <c r="F121" t="s">
        <v>14</v>
      </c>
      <c r="G121">
        <v>2</v>
      </c>
      <c r="H121" s="3">
        <v>4790</v>
      </c>
      <c r="I121" t="s">
        <v>75</v>
      </c>
      <c r="J121" t="s">
        <v>42</v>
      </c>
      <c r="K121" s="3">
        <f t="shared" si="8"/>
        <v>9580</v>
      </c>
      <c r="L121" s="4">
        <f t="shared" si="9"/>
        <v>0.05</v>
      </c>
      <c r="M121" s="3">
        <f t="shared" si="10"/>
        <v>9101</v>
      </c>
      <c r="N121" t="e">
        <f t="shared" ca="1" si="11"/>
        <v>#NAME?</v>
      </c>
      <c r="O121" t="str">
        <f t="shared" si="12"/>
        <v>April</v>
      </c>
      <c r="P121">
        <f t="shared" si="13"/>
        <v>4</v>
      </c>
      <c r="Q121">
        <f t="shared" si="14"/>
        <v>2025</v>
      </c>
      <c r="R121" t="str">
        <f t="shared" si="15"/>
        <v>Q2</v>
      </c>
    </row>
    <row r="122" spans="1:18" x14ac:dyDescent="0.3">
      <c r="A122" t="s">
        <v>182</v>
      </c>
      <c r="B122" s="2">
        <v>45829</v>
      </c>
      <c r="C122" t="s">
        <v>40</v>
      </c>
      <c r="D122" t="s">
        <v>23</v>
      </c>
      <c r="E122" t="s">
        <v>37</v>
      </c>
      <c r="F122" t="s">
        <v>46</v>
      </c>
      <c r="G122">
        <v>5</v>
      </c>
      <c r="H122" s="3">
        <v>11820</v>
      </c>
      <c r="I122" t="s">
        <v>94</v>
      </c>
      <c r="J122" t="s">
        <v>31</v>
      </c>
      <c r="K122" s="3">
        <f t="shared" si="8"/>
        <v>59100</v>
      </c>
      <c r="L122" s="4">
        <f t="shared" si="9"/>
        <v>0.1</v>
      </c>
      <c r="M122" s="3">
        <f t="shared" si="10"/>
        <v>53190</v>
      </c>
      <c r="N122" t="e">
        <f t="shared" ca="1" si="11"/>
        <v>#NAME?</v>
      </c>
      <c r="O122" t="str">
        <f t="shared" si="12"/>
        <v>June</v>
      </c>
      <c r="P122">
        <f t="shared" si="13"/>
        <v>6</v>
      </c>
      <c r="Q122">
        <f t="shared" si="14"/>
        <v>2025</v>
      </c>
      <c r="R122" t="str">
        <f t="shared" si="15"/>
        <v>Q2</v>
      </c>
    </row>
    <row r="123" spans="1:18" x14ac:dyDescent="0.3">
      <c r="A123" t="s">
        <v>184</v>
      </c>
      <c r="B123" s="2">
        <v>46017</v>
      </c>
      <c r="C123" t="s">
        <v>44</v>
      </c>
      <c r="D123" t="s">
        <v>12</v>
      </c>
      <c r="E123" t="s">
        <v>19</v>
      </c>
      <c r="F123" t="s">
        <v>14</v>
      </c>
      <c r="G123">
        <v>5</v>
      </c>
      <c r="H123" s="3">
        <v>4510</v>
      </c>
      <c r="I123" t="s">
        <v>77</v>
      </c>
      <c r="J123" t="s">
        <v>31</v>
      </c>
      <c r="K123" s="3">
        <f t="shared" si="8"/>
        <v>22550</v>
      </c>
      <c r="L123" s="4">
        <f t="shared" si="9"/>
        <v>0.05</v>
      </c>
      <c r="M123" s="3">
        <f t="shared" si="10"/>
        <v>21422.5</v>
      </c>
      <c r="N123" t="e">
        <f t="shared" ca="1" si="11"/>
        <v>#NAME?</v>
      </c>
      <c r="O123" t="str">
        <f t="shared" si="12"/>
        <v>December</v>
      </c>
      <c r="P123">
        <f t="shared" si="13"/>
        <v>12</v>
      </c>
      <c r="Q123">
        <f t="shared" si="14"/>
        <v>2025</v>
      </c>
      <c r="R123" t="str">
        <f t="shared" si="15"/>
        <v>Q4</v>
      </c>
    </row>
    <row r="124" spans="1:18" x14ac:dyDescent="0.3">
      <c r="A124" t="s">
        <v>185</v>
      </c>
      <c r="B124" s="2">
        <v>45871</v>
      </c>
      <c r="C124" t="s">
        <v>44</v>
      </c>
      <c r="D124" t="s">
        <v>18</v>
      </c>
      <c r="E124" t="s">
        <v>24</v>
      </c>
      <c r="F124" t="s">
        <v>25</v>
      </c>
      <c r="G124">
        <v>2</v>
      </c>
      <c r="H124" s="3">
        <v>850</v>
      </c>
      <c r="I124" t="s">
        <v>49</v>
      </c>
      <c r="J124" t="s">
        <v>31</v>
      </c>
      <c r="K124" s="3">
        <f t="shared" si="8"/>
        <v>1700</v>
      </c>
      <c r="L124" s="4">
        <f t="shared" si="9"/>
        <v>0.05</v>
      </c>
      <c r="M124" s="3">
        <f t="shared" si="10"/>
        <v>1615</v>
      </c>
      <c r="N124" t="e">
        <f t="shared" ca="1" si="11"/>
        <v>#NAME?</v>
      </c>
      <c r="O124" t="str">
        <f t="shared" si="12"/>
        <v>August</v>
      </c>
      <c r="P124">
        <f t="shared" si="13"/>
        <v>8</v>
      </c>
      <c r="Q124">
        <f t="shared" si="14"/>
        <v>2025</v>
      </c>
      <c r="R124" t="str">
        <f t="shared" si="15"/>
        <v>Q3</v>
      </c>
    </row>
    <row r="125" spans="1:18" x14ac:dyDescent="0.3">
      <c r="A125" t="s">
        <v>186</v>
      </c>
      <c r="B125" s="2">
        <v>45692</v>
      </c>
      <c r="C125" t="s">
        <v>44</v>
      </c>
      <c r="D125" t="s">
        <v>23</v>
      </c>
      <c r="E125" t="s">
        <v>19</v>
      </c>
      <c r="F125" t="s">
        <v>14</v>
      </c>
      <c r="G125">
        <v>10</v>
      </c>
      <c r="H125" s="3">
        <v>4430</v>
      </c>
      <c r="I125" t="s">
        <v>75</v>
      </c>
      <c r="J125" t="s">
        <v>323</v>
      </c>
      <c r="K125" s="3">
        <f t="shared" si="8"/>
        <v>44300</v>
      </c>
      <c r="L125" s="4">
        <f t="shared" si="9"/>
        <v>0.05</v>
      </c>
      <c r="M125" s="3">
        <f t="shared" si="10"/>
        <v>42085</v>
      </c>
      <c r="N125" t="e">
        <f t="shared" ca="1" si="11"/>
        <v>#NAME?</v>
      </c>
      <c r="O125" t="str">
        <f t="shared" si="12"/>
        <v>February</v>
      </c>
      <c r="P125">
        <f t="shared" si="13"/>
        <v>2</v>
      </c>
      <c r="Q125">
        <f t="shared" si="14"/>
        <v>2025</v>
      </c>
      <c r="R125" t="str">
        <f t="shared" si="15"/>
        <v>Q1</v>
      </c>
    </row>
    <row r="126" spans="1:18" x14ac:dyDescent="0.3">
      <c r="A126" t="s">
        <v>187</v>
      </c>
      <c r="B126" s="2">
        <v>45884</v>
      </c>
      <c r="C126" t="s">
        <v>44</v>
      </c>
      <c r="D126" t="s">
        <v>57</v>
      </c>
      <c r="E126" t="s">
        <v>45</v>
      </c>
      <c r="F126" t="s">
        <v>46</v>
      </c>
      <c r="G126">
        <v>4</v>
      </c>
      <c r="H126" s="3">
        <v>11090</v>
      </c>
      <c r="I126" t="s">
        <v>58</v>
      </c>
      <c r="J126" t="s">
        <v>31</v>
      </c>
      <c r="K126" s="3">
        <f t="shared" si="8"/>
        <v>44360</v>
      </c>
      <c r="L126" s="4">
        <f t="shared" si="9"/>
        <v>0.05</v>
      </c>
      <c r="M126" s="3">
        <f t="shared" si="10"/>
        <v>42142</v>
      </c>
      <c r="N126" t="e">
        <f t="shared" ca="1" si="11"/>
        <v>#NAME?</v>
      </c>
      <c r="O126" t="str">
        <f t="shared" si="12"/>
        <v>August</v>
      </c>
      <c r="P126">
        <f t="shared" si="13"/>
        <v>8</v>
      </c>
      <c r="Q126">
        <f t="shared" si="14"/>
        <v>2025</v>
      </c>
      <c r="R126" t="str">
        <f t="shared" si="15"/>
        <v>Q3</v>
      </c>
    </row>
    <row r="127" spans="1:18" x14ac:dyDescent="0.3">
      <c r="A127" t="s">
        <v>188</v>
      </c>
      <c r="B127" s="2">
        <v>45758</v>
      </c>
      <c r="C127" t="s">
        <v>28</v>
      </c>
      <c r="D127" t="s">
        <v>23</v>
      </c>
      <c r="E127" t="s">
        <v>45</v>
      </c>
      <c r="F127" t="s">
        <v>46</v>
      </c>
      <c r="G127">
        <v>4</v>
      </c>
      <c r="H127" s="3">
        <v>13010</v>
      </c>
      <c r="I127" t="s">
        <v>72</v>
      </c>
      <c r="J127" t="s">
        <v>31</v>
      </c>
      <c r="K127" s="3">
        <f t="shared" si="8"/>
        <v>52040</v>
      </c>
      <c r="L127" s="4">
        <f t="shared" si="9"/>
        <v>0.1</v>
      </c>
      <c r="M127" s="3">
        <f t="shared" si="10"/>
        <v>46836</v>
      </c>
      <c r="N127" t="e">
        <f t="shared" ca="1" si="11"/>
        <v>#NAME?</v>
      </c>
      <c r="O127" t="str">
        <f t="shared" si="12"/>
        <v>April</v>
      </c>
      <c r="P127">
        <f t="shared" si="13"/>
        <v>4</v>
      </c>
      <c r="Q127">
        <f t="shared" si="14"/>
        <v>2025</v>
      </c>
      <c r="R127" t="str">
        <f t="shared" si="15"/>
        <v>Q2</v>
      </c>
    </row>
    <row r="128" spans="1:18" x14ac:dyDescent="0.3">
      <c r="A128" t="s">
        <v>189</v>
      </c>
      <c r="B128" s="2">
        <v>45788</v>
      </c>
      <c r="C128" t="s">
        <v>40</v>
      </c>
      <c r="D128" t="s">
        <v>36</v>
      </c>
      <c r="E128" t="s">
        <v>30</v>
      </c>
      <c r="F128" t="s">
        <v>25</v>
      </c>
      <c r="G128">
        <v>10</v>
      </c>
      <c r="H128" s="3">
        <v>2620</v>
      </c>
      <c r="I128" t="s">
        <v>101</v>
      </c>
      <c r="J128" t="s">
        <v>16</v>
      </c>
      <c r="K128" s="3">
        <f t="shared" si="8"/>
        <v>26200</v>
      </c>
      <c r="L128" s="4">
        <f t="shared" si="9"/>
        <v>0.05</v>
      </c>
      <c r="M128" s="3">
        <f t="shared" si="10"/>
        <v>24890</v>
      </c>
      <c r="N128" t="e">
        <f t="shared" ca="1" si="11"/>
        <v>#NAME?</v>
      </c>
      <c r="O128" t="str">
        <f t="shared" si="12"/>
        <v>May</v>
      </c>
      <c r="P128">
        <f t="shared" si="13"/>
        <v>5</v>
      </c>
      <c r="Q128">
        <f t="shared" si="14"/>
        <v>2025</v>
      </c>
      <c r="R128" t="str">
        <f t="shared" si="15"/>
        <v>Q2</v>
      </c>
    </row>
    <row r="129" spans="1:18" x14ac:dyDescent="0.3">
      <c r="A129" t="s">
        <v>190</v>
      </c>
      <c r="B129" s="2">
        <v>45914</v>
      </c>
      <c r="C129" t="s">
        <v>40</v>
      </c>
      <c r="D129" t="s">
        <v>18</v>
      </c>
      <c r="E129" t="s">
        <v>24</v>
      </c>
      <c r="F129" t="s">
        <v>25</v>
      </c>
      <c r="G129">
        <v>10</v>
      </c>
      <c r="H129" s="3">
        <v>860</v>
      </c>
      <c r="I129" t="s">
        <v>108</v>
      </c>
      <c r="J129" t="s">
        <v>42</v>
      </c>
      <c r="K129" s="3">
        <f t="shared" si="8"/>
        <v>8600</v>
      </c>
      <c r="L129" s="4">
        <f t="shared" si="9"/>
        <v>0.05</v>
      </c>
      <c r="M129" s="3">
        <f t="shared" si="10"/>
        <v>8170</v>
      </c>
      <c r="N129" t="e">
        <f t="shared" ca="1" si="11"/>
        <v>#NAME?</v>
      </c>
      <c r="O129" t="str">
        <f t="shared" si="12"/>
        <v>September</v>
      </c>
      <c r="P129">
        <f t="shared" si="13"/>
        <v>9</v>
      </c>
      <c r="Q129">
        <f t="shared" si="14"/>
        <v>2025</v>
      </c>
      <c r="R129" t="str">
        <f t="shared" si="15"/>
        <v>Q3</v>
      </c>
    </row>
    <row r="130" spans="1:18" x14ac:dyDescent="0.3">
      <c r="A130" t="s">
        <v>191</v>
      </c>
      <c r="B130" s="2">
        <v>45662</v>
      </c>
      <c r="C130" t="s">
        <v>28</v>
      </c>
      <c r="D130" t="s">
        <v>36</v>
      </c>
      <c r="E130" t="s">
        <v>13</v>
      </c>
      <c r="F130" t="s">
        <v>14</v>
      </c>
      <c r="G130">
        <v>1</v>
      </c>
      <c r="H130" s="3">
        <v>18310</v>
      </c>
      <c r="I130" t="s">
        <v>72</v>
      </c>
      <c r="J130" t="s">
        <v>42</v>
      </c>
      <c r="K130" s="3">
        <f t="shared" ref="K130:K193" si="16">G130*H130</f>
        <v>18310</v>
      </c>
      <c r="L130" s="4">
        <f t="shared" ref="L130:L193" si="17">IF(K130&gt;=50000,10%,5%)</f>
        <v>0.05</v>
      </c>
      <c r="M130" s="3">
        <f t="shared" ref="M130:M193" si="18">K130*(1-L130)</f>
        <v>17394.5</v>
      </c>
      <c r="N130" t="e">
        <f t="shared" ref="N130:N193" ca="1" si="19">_xludf.IFS(M130&gt;=100000,"Excellent",M130&gt;=50000,"Good",M130&gt;=10000,"Average",TRUE,"Low")</f>
        <v>#NAME?</v>
      </c>
      <c r="O130" t="str">
        <f t="shared" ref="O130:O193" si="20">TEXT(B130,"mmmm")</f>
        <v>January</v>
      </c>
      <c r="P130">
        <f t="shared" ref="P130:P193" si="21">MONTH(B130)</f>
        <v>1</v>
      </c>
      <c r="Q130">
        <f t="shared" ref="Q130:Q193" si="22">YEAR(B130)</f>
        <v>2025</v>
      </c>
      <c r="R130" t="str">
        <f t="shared" ref="R130:R193" si="23">"Q"&amp;ROUNDUP(MONTH(B130)/3,0)</f>
        <v>Q1</v>
      </c>
    </row>
    <row r="131" spans="1:18" x14ac:dyDescent="0.3">
      <c r="A131" t="s">
        <v>192</v>
      </c>
      <c r="B131" s="2">
        <v>45875</v>
      </c>
      <c r="C131" t="s">
        <v>40</v>
      </c>
      <c r="D131" t="s">
        <v>57</v>
      </c>
      <c r="E131" t="s">
        <v>63</v>
      </c>
      <c r="F131" t="s">
        <v>64</v>
      </c>
      <c r="G131">
        <v>10</v>
      </c>
      <c r="H131" s="3">
        <v>7500</v>
      </c>
      <c r="I131" t="s">
        <v>53</v>
      </c>
      <c r="J131" t="s">
        <v>323</v>
      </c>
      <c r="K131" s="3">
        <f t="shared" si="16"/>
        <v>75000</v>
      </c>
      <c r="L131" s="4">
        <f t="shared" si="17"/>
        <v>0.1</v>
      </c>
      <c r="M131" s="3">
        <f t="shared" si="18"/>
        <v>67500</v>
      </c>
      <c r="N131" t="e">
        <f t="shared" ca="1" si="19"/>
        <v>#NAME?</v>
      </c>
      <c r="O131" t="str">
        <f t="shared" si="20"/>
        <v>August</v>
      </c>
      <c r="P131">
        <f t="shared" si="21"/>
        <v>8</v>
      </c>
      <c r="Q131">
        <f t="shared" si="22"/>
        <v>2025</v>
      </c>
      <c r="R131" t="str">
        <f t="shared" si="23"/>
        <v>Q3</v>
      </c>
    </row>
    <row r="132" spans="1:18" x14ac:dyDescent="0.3">
      <c r="A132" t="s">
        <v>193</v>
      </c>
      <c r="B132" s="2">
        <v>45912</v>
      </c>
      <c r="C132" t="s">
        <v>28</v>
      </c>
      <c r="D132" t="s">
        <v>12</v>
      </c>
      <c r="E132" t="s">
        <v>45</v>
      </c>
      <c r="F132" t="s">
        <v>46</v>
      </c>
      <c r="G132">
        <v>1</v>
      </c>
      <c r="H132" s="3">
        <v>12390</v>
      </c>
      <c r="I132" t="s">
        <v>34</v>
      </c>
      <c r="J132" t="s">
        <v>323</v>
      </c>
      <c r="K132" s="3">
        <f t="shared" si="16"/>
        <v>12390</v>
      </c>
      <c r="L132" s="4">
        <f t="shared" si="17"/>
        <v>0.05</v>
      </c>
      <c r="M132" s="3">
        <f t="shared" si="18"/>
        <v>11770.5</v>
      </c>
      <c r="N132" t="e">
        <f t="shared" ca="1" si="19"/>
        <v>#NAME?</v>
      </c>
      <c r="O132" t="str">
        <f t="shared" si="20"/>
        <v>September</v>
      </c>
      <c r="P132">
        <f t="shared" si="21"/>
        <v>9</v>
      </c>
      <c r="Q132">
        <f t="shared" si="22"/>
        <v>2025</v>
      </c>
      <c r="R132" t="str">
        <f t="shared" si="23"/>
        <v>Q3</v>
      </c>
    </row>
    <row r="133" spans="1:18" x14ac:dyDescent="0.3">
      <c r="A133" t="s">
        <v>194</v>
      </c>
      <c r="B133" s="2">
        <v>46016</v>
      </c>
      <c r="C133" t="s">
        <v>11</v>
      </c>
      <c r="D133" t="s">
        <v>57</v>
      </c>
      <c r="E133" t="s">
        <v>37</v>
      </c>
      <c r="F133" t="s">
        <v>14</v>
      </c>
      <c r="G133">
        <v>2</v>
      </c>
      <c r="H133" s="3">
        <v>54060</v>
      </c>
      <c r="I133" t="s">
        <v>75</v>
      </c>
      <c r="J133" t="s">
        <v>323</v>
      </c>
      <c r="K133" s="3">
        <f t="shared" si="16"/>
        <v>108120</v>
      </c>
      <c r="L133" s="4">
        <f t="shared" si="17"/>
        <v>0.1</v>
      </c>
      <c r="M133" s="3">
        <f t="shared" si="18"/>
        <v>97308</v>
      </c>
      <c r="N133" t="e">
        <f t="shared" ca="1" si="19"/>
        <v>#NAME?</v>
      </c>
      <c r="O133" t="str">
        <f t="shared" si="20"/>
        <v>December</v>
      </c>
      <c r="P133">
        <f t="shared" si="21"/>
        <v>12</v>
      </c>
      <c r="Q133">
        <f t="shared" si="22"/>
        <v>2025</v>
      </c>
      <c r="R133" t="str">
        <f t="shared" si="23"/>
        <v>Q4</v>
      </c>
    </row>
    <row r="134" spans="1:18" x14ac:dyDescent="0.3">
      <c r="A134" t="s">
        <v>195</v>
      </c>
      <c r="B134" s="2">
        <v>45940</v>
      </c>
      <c r="C134" t="s">
        <v>40</v>
      </c>
      <c r="D134" t="s">
        <v>29</v>
      </c>
      <c r="E134" t="s">
        <v>79</v>
      </c>
      <c r="F134" t="s">
        <v>64</v>
      </c>
      <c r="G134">
        <v>1</v>
      </c>
      <c r="H134" s="3">
        <v>8660</v>
      </c>
      <c r="I134" t="s">
        <v>72</v>
      </c>
      <c r="J134" t="s">
        <v>42</v>
      </c>
      <c r="K134" s="3">
        <f t="shared" si="16"/>
        <v>8660</v>
      </c>
      <c r="L134" s="4">
        <f t="shared" si="17"/>
        <v>0.05</v>
      </c>
      <c r="M134" s="3">
        <f t="shared" si="18"/>
        <v>8227</v>
      </c>
      <c r="N134" t="e">
        <f t="shared" ca="1" si="19"/>
        <v>#NAME?</v>
      </c>
      <c r="O134" t="str">
        <f t="shared" si="20"/>
        <v>October</v>
      </c>
      <c r="P134">
        <f t="shared" si="21"/>
        <v>10</v>
      </c>
      <c r="Q134">
        <f t="shared" si="22"/>
        <v>2025</v>
      </c>
      <c r="R134" t="str">
        <f t="shared" si="23"/>
        <v>Q4</v>
      </c>
    </row>
    <row r="135" spans="1:18" x14ac:dyDescent="0.3">
      <c r="A135" t="s">
        <v>196</v>
      </c>
      <c r="B135" s="2">
        <v>45864</v>
      </c>
      <c r="C135" t="s">
        <v>44</v>
      </c>
      <c r="D135" t="s">
        <v>23</v>
      </c>
      <c r="E135" t="s">
        <v>37</v>
      </c>
      <c r="F135" t="s">
        <v>14</v>
      </c>
      <c r="G135">
        <v>5</v>
      </c>
      <c r="H135" s="3">
        <v>55960</v>
      </c>
      <c r="I135" t="s">
        <v>72</v>
      </c>
      <c r="J135" t="s">
        <v>16</v>
      </c>
      <c r="K135" s="3">
        <f t="shared" si="16"/>
        <v>279800</v>
      </c>
      <c r="L135" s="4">
        <f t="shared" si="17"/>
        <v>0.1</v>
      </c>
      <c r="M135" s="3">
        <f t="shared" si="18"/>
        <v>251820</v>
      </c>
      <c r="N135" t="e">
        <f t="shared" ca="1" si="19"/>
        <v>#NAME?</v>
      </c>
      <c r="O135" t="str">
        <f t="shared" si="20"/>
        <v>July</v>
      </c>
      <c r="P135">
        <f t="shared" si="21"/>
        <v>7</v>
      </c>
      <c r="Q135">
        <f t="shared" si="22"/>
        <v>2025</v>
      </c>
      <c r="R135" t="str">
        <f t="shared" si="23"/>
        <v>Q3</v>
      </c>
    </row>
    <row r="136" spans="1:18" x14ac:dyDescent="0.3">
      <c r="A136" t="s">
        <v>197</v>
      </c>
      <c r="B136" s="2">
        <v>45672</v>
      </c>
      <c r="C136" t="s">
        <v>44</v>
      </c>
      <c r="D136" t="s">
        <v>18</v>
      </c>
      <c r="E136" t="s">
        <v>13</v>
      </c>
      <c r="F136" t="s">
        <v>14</v>
      </c>
      <c r="G136">
        <v>1</v>
      </c>
      <c r="H136" s="3">
        <v>18120</v>
      </c>
      <c r="I136" t="s">
        <v>51</v>
      </c>
      <c r="J136" t="s">
        <v>16</v>
      </c>
      <c r="K136" s="3">
        <f t="shared" si="16"/>
        <v>18120</v>
      </c>
      <c r="L136" s="4">
        <f t="shared" si="17"/>
        <v>0.05</v>
      </c>
      <c r="M136" s="3">
        <f t="shared" si="18"/>
        <v>17214</v>
      </c>
      <c r="N136" t="e">
        <f t="shared" ca="1" si="19"/>
        <v>#NAME?</v>
      </c>
      <c r="O136" t="str">
        <f t="shared" si="20"/>
        <v>January</v>
      </c>
      <c r="P136">
        <f t="shared" si="21"/>
        <v>1</v>
      </c>
      <c r="Q136">
        <f t="shared" si="22"/>
        <v>2025</v>
      </c>
      <c r="R136" t="str">
        <f t="shared" si="23"/>
        <v>Q1</v>
      </c>
    </row>
    <row r="137" spans="1:18" x14ac:dyDescent="0.3">
      <c r="A137" t="s">
        <v>198</v>
      </c>
      <c r="B137" s="2">
        <v>46003</v>
      </c>
      <c r="C137" t="s">
        <v>28</v>
      </c>
      <c r="D137" t="s">
        <v>29</v>
      </c>
      <c r="E137" t="s">
        <v>24</v>
      </c>
      <c r="F137" t="s">
        <v>25</v>
      </c>
      <c r="G137">
        <v>1</v>
      </c>
      <c r="H137" s="3">
        <v>770</v>
      </c>
      <c r="I137" t="s">
        <v>65</v>
      </c>
      <c r="J137" t="s">
        <v>42</v>
      </c>
      <c r="K137" s="3">
        <f t="shared" si="16"/>
        <v>770</v>
      </c>
      <c r="L137" s="4">
        <f t="shared" si="17"/>
        <v>0.05</v>
      </c>
      <c r="M137" s="3">
        <f t="shared" si="18"/>
        <v>731.5</v>
      </c>
      <c r="N137" t="e">
        <f t="shared" ca="1" si="19"/>
        <v>#NAME?</v>
      </c>
      <c r="O137" t="str">
        <f t="shared" si="20"/>
        <v>December</v>
      </c>
      <c r="P137">
        <f t="shared" si="21"/>
        <v>12</v>
      </c>
      <c r="Q137">
        <f t="shared" si="22"/>
        <v>2025</v>
      </c>
      <c r="R137" t="str">
        <f t="shared" si="23"/>
        <v>Q4</v>
      </c>
    </row>
    <row r="138" spans="1:18" x14ac:dyDescent="0.3">
      <c r="A138" t="s">
        <v>199</v>
      </c>
      <c r="B138" s="2">
        <v>45699</v>
      </c>
      <c r="C138" t="s">
        <v>28</v>
      </c>
      <c r="D138" t="s">
        <v>36</v>
      </c>
      <c r="E138" t="s">
        <v>33</v>
      </c>
      <c r="F138" t="s">
        <v>25</v>
      </c>
      <c r="G138">
        <v>1</v>
      </c>
      <c r="H138" s="3">
        <v>1470</v>
      </c>
      <c r="I138" t="s">
        <v>15</v>
      </c>
      <c r="J138" t="s">
        <v>16</v>
      </c>
      <c r="K138" s="3">
        <f t="shared" si="16"/>
        <v>1470</v>
      </c>
      <c r="L138" s="4">
        <f t="shared" si="17"/>
        <v>0.05</v>
      </c>
      <c r="M138" s="3">
        <f t="shared" si="18"/>
        <v>1396.5</v>
      </c>
      <c r="N138" t="e">
        <f t="shared" ca="1" si="19"/>
        <v>#NAME?</v>
      </c>
      <c r="O138" t="str">
        <f t="shared" si="20"/>
        <v>February</v>
      </c>
      <c r="P138">
        <f t="shared" si="21"/>
        <v>2</v>
      </c>
      <c r="Q138">
        <f t="shared" si="22"/>
        <v>2025</v>
      </c>
      <c r="R138" t="str">
        <f t="shared" si="23"/>
        <v>Q1</v>
      </c>
    </row>
    <row r="139" spans="1:18" x14ac:dyDescent="0.3">
      <c r="A139" t="s">
        <v>200</v>
      </c>
      <c r="B139" s="2">
        <v>45836</v>
      </c>
      <c r="C139" t="s">
        <v>28</v>
      </c>
      <c r="D139" t="s">
        <v>29</v>
      </c>
      <c r="E139" t="s">
        <v>63</v>
      </c>
      <c r="F139" t="s">
        <v>64</v>
      </c>
      <c r="G139">
        <v>1</v>
      </c>
      <c r="H139" s="3">
        <v>7580</v>
      </c>
      <c r="I139" t="s">
        <v>75</v>
      </c>
      <c r="J139" t="s">
        <v>42</v>
      </c>
      <c r="K139" s="3">
        <f t="shared" si="16"/>
        <v>7580</v>
      </c>
      <c r="L139" s="4">
        <f t="shared" si="17"/>
        <v>0.05</v>
      </c>
      <c r="M139" s="3">
        <f t="shared" si="18"/>
        <v>7201</v>
      </c>
      <c r="N139" t="e">
        <f t="shared" ca="1" si="19"/>
        <v>#NAME?</v>
      </c>
      <c r="O139" t="str">
        <f t="shared" si="20"/>
        <v>June</v>
      </c>
      <c r="P139">
        <f t="shared" si="21"/>
        <v>6</v>
      </c>
      <c r="Q139">
        <f t="shared" si="22"/>
        <v>2025</v>
      </c>
      <c r="R139" t="str">
        <f t="shared" si="23"/>
        <v>Q2</v>
      </c>
    </row>
    <row r="140" spans="1:18" x14ac:dyDescent="0.3">
      <c r="A140" t="s">
        <v>201</v>
      </c>
      <c r="B140" s="2">
        <v>45720</v>
      </c>
      <c r="C140" t="s">
        <v>44</v>
      </c>
      <c r="D140" t="s">
        <v>36</v>
      </c>
      <c r="E140" t="s">
        <v>41</v>
      </c>
      <c r="F140" t="s">
        <v>14</v>
      </c>
      <c r="G140">
        <v>2</v>
      </c>
      <c r="H140" s="3">
        <v>26200</v>
      </c>
      <c r="I140" t="s">
        <v>77</v>
      </c>
      <c r="J140" t="s">
        <v>31</v>
      </c>
      <c r="K140" s="3">
        <f t="shared" si="16"/>
        <v>52400</v>
      </c>
      <c r="L140" s="4">
        <f t="shared" si="17"/>
        <v>0.1</v>
      </c>
      <c r="M140" s="3">
        <f t="shared" si="18"/>
        <v>47160</v>
      </c>
      <c r="N140" t="e">
        <f t="shared" ca="1" si="19"/>
        <v>#NAME?</v>
      </c>
      <c r="O140" t="str">
        <f t="shared" si="20"/>
        <v>March</v>
      </c>
      <c r="P140">
        <f t="shared" si="21"/>
        <v>3</v>
      </c>
      <c r="Q140">
        <f t="shared" si="22"/>
        <v>2025</v>
      </c>
      <c r="R140" t="str">
        <f t="shared" si="23"/>
        <v>Q1</v>
      </c>
    </row>
    <row r="141" spans="1:18" x14ac:dyDescent="0.3">
      <c r="A141" t="s">
        <v>202</v>
      </c>
      <c r="B141" s="2">
        <v>46009</v>
      </c>
      <c r="C141" t="s">
        <v>40</v>
      </c>
      <c r="D141" t="s">
        <v>23</v>
      </c>
      <c r="E141" t="s">
        <v>13</v>
      </c>
      <c r="F141" t="s">
        <v>14</v>
      </c>
      <c r="G141">
        <v>1</v>
      </c>
      <c r="H141" s="3">
        <v>17080</v>
      </c>
      <c r="I141" t="s">
        <v>94</v>
      </c>
      <c r="J141" t="s">
        <v>31</v>
      </c>
      <c r="K141" s="3">
        <f t="shared" si="16"/>
        <v>17080</v>
      </c>
      <c r="L141" s="4">
        <f t="shared" si="17"/>
        <v>0.05</v>
      </c>
      <c r="M141" s="3">
        <f t="shared" si="18"/>
        <v>16226</v>
      </c>
      <c r="N141" t="e">
        <f t="shared" ca="1" si="19"/>
        <v>#NAME?</v>
      </c>
      <c r="O141" t="str">
        <f t="shared" si="20"/>
        <v>December</v>
      </c>
      <c r="P141">
        <f t="shared" si="21"/>
        <v>12</v>
      </c>
      <c r="Q141">
        <f t="shared" si="22"/>
        <v>2025</v>
      </c>
      <c r="R141" t="str">
        <f t="shared" si="23"/>
        <v>Q4</v>
      </c>
    </row>
    <row r="142" spans="1:18" x14ac:dyDescent="0.3">
      <c r="A142" t="s">
        <v>203</v>
      </c>
      <c r="B142" s="2">
        <v>45888</v>
      </c>
      <c r="C142" t="s">
        <v>44</v>
      </c>
      <c r="D142" t="s">
        <v>23</v>
      </c>
      <c r="E142" t="s">
        <v>24</v>
      </c>
      <c r="F142" t="s">
        <v>25</v>
      </c>
      <c r="G142">
        <v>2</v>
      </c>
      <c r="H142" s="3">
        <v>830</v>
      </c>
      <c r="I142" t="s">
        <v>20</v>
      </c>
      <c r="J142" t="s">
        <v>42</v>
      </c>
      <c r="K142" s="3">
        <f t="shared" si="16"/>
        <v>1660</v>
      </c>
      <c r="L142" s="4">
        <f t="shared" si="17"/>
        <v>0.05</v>
      </c>
      <c r="M142" s="3">
        <f t="shared" si="18"/>
        <v>1577</v>
      </c>
      <c r="N142" t="e">
        <f t="shared" ca="1" si="19"/>
        <v>#NAME?</v>
      </c>
      <c r="O142" t="str">
        <f t="shared" si="20"/>
        <v>August</v>
      </c>
      <c r="P142">
        <f t="shared" si="21"/>
        <v>8</v>
      </c>
      <c r="Q142">
        <f t="shared" si="22"/>
        <v>2025</v>
      </c>
      <c r="R142" t="str">
        <f t="shared" si="23"/>
        <v>Q3</v>
      </c>
    </row>
    <row r="143" spans="1:18" x14ac:dyDescent="0.3">
      <c r="A143" t="s">
        <v>204</v>
      </c>
      <c r="B143" s="2">
        <v>45898</v>
      </c>
      <c r="C143" t="s">
        <v>44</v>
      </c>
      <c r="D143" t="s">
        <v>29</v>
      </c>
      <c r="E143" t="s">
        <v>79</v>
      </c>
      <c r="F143" t="s">
        <v>64</v>
      </c>
      <c r="G143">
        <v>4</v>
      </c>
      <c r="H143" s="3">
        <v>9420</v>
      </c>
      <c r="I143" t="s">
        <v>20</v>
      </c>
      <c r="J143" t="s">
        <v>323</v>
      </c>
      <c r="K143" s="3">
        <f t="shared" si="16"/>
        <v>37680</v>
      </c>
      <c r="L143" s="4">
        <f t="shared" si="17"/>
        <v>0.05</v>
      </c>
      <c r="M143" s="3">
        <f t="shared" si="18"/>
        <v>35796</v>
      </c>
      <c r="N143" t="e">
        <f t="shared" ca="1" si="19"/>
        <v>#NAME?</v>
      </c>
      <c r="O143" t="str">
        <f t="shared" si="20"/>
        <v>August</v>
      </c>
      <c r="P143">
        <f t="shared" si="21"/>
        <v>8</v>
      </c>
      <c r="Q143">
        <f t="shared" si="22"/>
        <v>2025</v>
      </c>
      <c r="R143" t="str">
        <f t="shared" si="23"/>
        <v>Q3</v>
      </c>
    </row>
    <row r="144" spans="1:18" x14ac:dyDescent="0.3">
      <c r="A144" t="s">
        <v>205</v>
      </c>
      <c r="B144" s="2">
        <v>45709</v>
      </c>
      <c r="C144" t="s">
        <v>40</v>
      </c>
      <c r="D144" t="s">
        <v>18</v>
      </c>
      <c r="E144" t="s">
        <v>33</v>
      </c>
      <c r="F144" t="s">
        <v>25</v>
      </c>
      <c r="G144">
        <v>2</v>
      </c>
      <c r="H144" s="3">
        <v>1540</v>
      </c>
      <c r="I144" t="s">
        <v>53</v>
      </c>
      <c r="J144" t="s">
        <v>16</v>
      </c>
      <c r="K144" s="3">
        <f t="shared" si="16"/>
        <v>3080</v>
      </c>
      <c r="L144" s="4">
        <f t="shared" si="17"/>
        <v>0.05</v>
      </c>
      <c r="M144" s="3">
        <f t="shared" si="18"/>
        <v>2926</v>
      </c>
      <c r="N144" t="e">
        <f t="shared" ca="1" si="19"/>
        <v>#NAME?</v>
      </c>
      <c r="O144" t="str">
        <f t="shared" si="20"/>
        <v>February</v>
      </c>
      <c r="P144">
        <f t="shared" si="21"/>
        <v>2</v>
      </c>
      <c r="Q144">
        <f t="shared" si="22"/>
        <v>2025</v>
      </c>
      <c r="R144" t="str">
        <f t="shared" si="23"/>
        <v>Q1</v>
      </c>
    </row>
    <row r="145" spans="1:18" x14ac:dyDescent="0.3">
      <c r="A145" t="s">
        <v>206</v>
      </c>
      <c r="B145" s="2">
        <v>45753</v>
      </c>
      <c r="C145" t="s">
        <v>28</v>
      </c>
      <c r="D145" t="s">
        <v>18</v>
      </c>
      <c r="E145" t="s">
        <v>30</v>
      </c>
      <c r="F145" t="s">
        <v>25</v>
      </c>
      <c r="G145">
        <v>2</v>
      </c>
      <c r="H145" s="3">
        <v>2420</v>
      </c>
      <c r="I145" t="s">
        <v>38</v>
      </c>
      <c r="J145" t="s">
        <v>16</v>
      </c>
      <c r="K145" s="3">
        <f t="shared" si="16"/>
        <v>4840</v>
      </c>
      <c r="L145" s="4">
        <f t="shared" si="17"/>
        <v>0.05</v>
      </c>
      <c r="M145" s="3">
        <f t="shared" si="18"/>
        <v>4598</v>
      </c>
      <c r="N145" t="e">
        <f t="shared" ca="1" si="19"/>
        <v>#NAME?</v>
      </c>
      <c r="O145" t="str">
        <f t="shared" si="20"/>
        <v>April</v>
      </c>
      <c r="P145">
        <f t="shared" si="21"/>
        <v>4</v>
      </c>
      <c r="Q145">
        <f t="shared" si="22"/>
        <v>2025</v>
      </c>
      <c r="R145" t="str">
        <f t="shared" si="23"/>
        <v>Q2</v>
      </c>
    </row>
    <row r="146" spans="1:18" x14ac:dyDescent="0.3">
      <c r="A146" t="s">
        <v>207</v>
      </c>
      <c r="B146" s="2">
        <v>45879</v>
      </c>
      <c r="C146" t="s">
        <v>40</v>
      </c>
      <c r="D146" t="s">
        <v>23</v>
      </c>
      <c r="E146" t="s">
        <v>79</v>
      </c>
      <c r="F146" t="s">
        <v>64</v>
      </c>
      <c r="G146">
        <v>2</v>
      </c>
      <c r="H146" s="3">
        <v>9220</v>
      </c>
      <c r="I146" t="s">
        <v>101</v>
      </c>
      <c r="J146" t="s">
        <v>42</v>
      </c>
      <c r="K146" s="3">
        <f t="shared" si="16"/>
        <v>18440</v>
      </c>
      <c r="L146" s="4">
        <f t="shared" si="17"/>
        <v>0.05</v>
      </c>
      <c r="M146" s="3">
        <f t="shared" si="18"/>
        <v>17518</v>
      </c>
      <c r="N146" t="e">
        <f t="shared" ca="1" si="19"/>
        <v>#NAME?</v>
      </c>
      <c r="O146" t="str">
        <f t="shared" si="20"/>
        <v>August</v>
      </c>
      <c r="P146">
        <f t="shared" si="21"/>
        <v>8</v>
      </c>
      <c r="Q146">
        <f t="shared" si="22"/>
        <v>2025</v>
      </c>
      <c r="R146" t="str">
        <f t="shared" si="23"/>
        <v>Q3</v>
      </c>
    </row>
    <row r="147" spans="1:18" x14ac:dyDescent="0.3">
      <c r="A147" t="s">
        <v>208</v>
      </c>
      <c r="B147" s="2">
        <v>45888</v>
      </c>
      <c r="C147" t="s">
        <v>40</v>
      </c>
      <c r="D147" t="s">
        <v>36</v>
      </c>
      <c r="E147" t="s">
        <v>30</v>
      </c>
      <c r="F147" t="s">
        <v>25</v>
      </c>
      <c r="G147">
        <v>1</v>
      </c>
      <c r="H147" s="3">
        <v>2720</v>
      </c>
      <c r="I147" t="s">
        <v>49</v>
      </c>
      <c r="J147" t="s">
        <v>42</v>
      </c>
      <c r="K147" s="3">
        <f t="shared" si="16"/>
        <v>2720</v>
      </c>
      <c r="L147" s="4">
        <f t="shared" si="17"/>
        <v>0.05</v>
      </c>
      <c r="M147" s="3">
        <f t="shared" si="18"/>
        <v>2584</v>
      </c>
      <c r="N147" t="e">
        <f t="shared" ca="1" si="19"/>
        <v>#NAME?</v>
      </c>
      <c r="O147" t="str">
        <f t="shared" si="20"/>
        <v>August</v>
      </c>
      <c r="P147">
        <f t="shared" si="21"/>
        <v>8</v>
      </c>
      <c r="Q147">
        <f t="shared" si="22"/>
        <v>2025</v>
      </c>
      <c r="R147" t="str">
        <f t="shared" si="23"/>
        <v>Q3</v>
      </c>
    </row>
    <row r="148" spans="1:18" x14ac:dyDescent="0.3">
      <c r="A148" t="s">
        <v>209</v>
      </c>
      <c r="B148" s="2">
        <v>45894</v>
      </c>
      <c r="C148" t="s">
        <v>44</v>
      </c>
      <c r="D148" t="s">
        <v>18</v>
      </c>
      <c r="E148" t="s">
        <v>63</v>
      </c>
      <c r="F148" t="s">
        <v>64</v>
      </c>
      <c r="G148">
        <v>4</v>
      </c>
      <c r="H148" s="3">
        <v>7950</v>
      </c>
      <c r="I148" t="s">
        <v>72</v>
      </c>
      <c r="J148" t="s">
        <v>323</v>
      </c>
      <c r="K148" s="3">
        <f t="shared" si="16"/>
        <v>31800</v>
      </c>
      <c r="L148" s="4">
        <f t="shared" si="17"/>
        <v>0.05</v>
      </c>
      <c r="M148" s="3">
        <f t="shared" si="18"/>
        <v>30210</v>
      </c>
      <c r="N148" t="e">
        <f t="shared" ca="1" si="19"/>
        <v>#NAME?</v>
      </c>
      <c r="O148" t="str">
        <f t="shared" si="20"/>
        <v>August</v>
      </c>
      <c r="P148">
        <f t="shared" si="21"/>
        <v>8</v>
      </c>
      <c r="Q148">
        <f t="shared" si="22"/>
        <v>2025</v>
      </c>
      <c r="R148" t="str">
        <f t="shared" si="23"/>
        <v>Q3</v>
      </c>
    </row>
    <row r="149" spans="1:18" x14ac:dyDescent="0.3">
      <c r="A149" t="s">
        <v>210</v>
      </c>
      <c r="B149" s="2">
        <v>45800</v>
      </c>
      <c r="C149" t="s">
        <v>44</v>
      </c>
      <c r="D149" t="s">
        <v>12</v>
      </c>
      <c r="E149" t="s">
        <v>41</v>
      </c>
      <c r="F149" t="s">
        <v>14</v>
      </c>
      <c r="G149">
        <v>5</v>
      </c>
      <c r="H149" s="3">
        <v>29110</v>
      </c>
      <c r="I149" t="s">
        <v>94</v>
      </c>
      <c r="J149" t="s">
        <v>42</v>
      </c>
      <c r="K149" s="3">
        <f t="shared" si="16"/>
        <v>145550</v>
      </c>
      <c r="L149" s="4">
        <f t="shared" si="17"/>
        <v>0.1</v>
      </c>
      <c r="M149" s="3">
        <f t="shared" si="18"/>
        <v>130995</v>
      </c>
      <c r="N149" t="e">
        <f t="shared" ca="1" si="19"/>
        <v>#NAME?</v>
      </c>
      <c r="O149" t="str">
        <f t="shared" si="20"/>
        <v>May</v>
      </c>
      <c r="P149">
        <f t="shared" si="21"/>
        <v>5</v>
      </c>
      <c r="Q149">
        <f t="shared" si="22"/>
        <v>2025</v>
      </c>
      <c r="R149" t="str">
        <f t="shared" si="23"/>
        <v>Q2</v>
      </c>
    </row>
    <row r="150" spans="1:18" x14ac:dyDescent="0.3">
      <c r="A150" t="s">
        <v>211</v>
      </c>
      <c r="B150" s="2">
        <v>45828</v>
      </c>
      <c r="C150" t="s">
        <v>28</v>
      </c>
      <c r="D150" t="s">
        <v>23</v>
      </c>
      <c r="E150" t="s">
        <v>24</v>
      </c>
      <c r="F150" t="s">
        <v>25</v>
      </c>
      <c r="G150">
        <v>1</v>
      </c>
      <c r="H150" s="3">
        <v>760</v>
      </c>
      <c r="I150" t="s">
        <v>15</v>
      </c>
      <c r="J150" t="s">
        <v>31</v>
      </c>
      <c r="K150" s="3">
        <f t="shared" si="16"/>
        <v>760</v>
      </c>
      <c r="L150" s="4">
        <f t="shared" si="17"/>
        <v>0.05</v>
      </c>
      <c r="M150" s="3">
        <f t="shared" si="18"/>
        <v>722</v>
      </c>
      <c r="N150" t="e">
        <f t="shared" ca="1" si="19"/>
        <v>#NAME?</v>
      </c>
      <c r="O150" t="str">
        <f t="shared" si="20"/>
        <v>June</v>
      </c>
      <c r="P150">
        <f t="shared" si="21"/>
        <v>6</v>
      </c>
      <c r="Q150">
        <f t="shared" si="22"/>
        <v>2025</v>
      </c>
      <c r="R150" t="str">
        <f t="shared" si="23"/>
        <v>Q2</v>
      </c>
    </row>
    <row r="151" spans="1:18" x14ac:dyDescent="0.3">
      <c r="A151" t="s">
        <v>212</v>
      </c>
      <c r="B151" s="2">
        <v>45686</v>
      </c>
      <c r="C151" t="s">
        <v>40</v>
      </c>
      <c r="D151" t="s">
        <v>12</v>
      </c>
      <c r="E151" t="s">
        <v>30</v>
      </c>
      <c r="F151" t="s">
        <v>25</v>
      </c>
      <c r="G151">
        <v>2</v>
      </c>
      <c r="H151" s="3">
        <v>2500</v>
      </c>
      <c r="I151" t="s">
        <v>81</v>
      </c>
      <c r="J151" t="s">
        <v>323</v>
      </c>
      <c r="K151" s="3">
        <f t="shared" si="16"/>
        <v>5000</v>
      </c>
      <c r="L151" s="4">
        <f t="shared" si="17"/>
        <v>0.05</v>
      </c>
      <c r="M151" s="3">
        <f t="shared" si="18"/>
        <v>4750</v>
      </c>
      <c r="N151" t="e">
        <f t="shared" ca="1" si="19"/>
        <v>#NAME?</v>
      </c>
      <c r="O151" t="str">
        <f t="shared" si="20"/>
        <v>January</v>
      </c>
      <c r="P151">
        <f t="shared" si="21"/>
        <v>1</v>
      </c>
      <c r="Q151">
        <f t="shared" si="22"/>
        <v>2025</v>
      </c>
      <c r="R151" t="str">
        <f t="shared" si="23"/>
        <v>Q1</v>
      </c>
    </row>
    <row r="152" spans="1:18" x14ac:dyDescent="0.3">
      <c r="A152" t="s">
        <v>213</v>
      </c>
      <c r="B152" s="2">
        <v>45693</v>
      </c>
      <c r="C152" t="s">
        <v>11</v>
      </c>
      <c r="D152" t="s">
        <v>57</v>
      </c>
      <c r="E152" t="s">
        <v>45</v>
      </c>
      <c r="F152" t="s">
        <v>46</v>
      </c>
      <c r="G152">
        <v>4</v>
      </c>
      <c r="H152" s="3">
        <v>11060</v>
      </c>
      <c r="I152" t="s">
        <v>51</v>
      </c>
      <c r="J152" t="s">
        <v>16</v>
      </c>
      <c r="K152" s="3">
        <f t="shared" si="16"/>
        <v>44240</v>
      </c>
      <c r="L152" s="4">
        <f t="shared" si="17"/>
        <v>0.05</v>
      </c>
      <c r="M152" s="3">
        <f t="shared" si="18"/>
        <v>42028</v>
      </c>
      <c r="N152" t="e">
        <f t="shared" ca="1" si="19"/>
        <v>#NAME?</v>
      </c>
      <c r="O152" t="str">
        <f t="shared" si="20"/>
        <v>February</v>
      </c>
      <c r="P152">
        <f t="shared" si="21"/>
        <v>2</v>
      </c>
      <c r="Q152">
        <f t="shared" si="22"/>
        <v>2025</v>
      </c>
      <c r="R152" t="str">
        <f t="shared" si="23"/>
        <v>Q1</v>
      </c>
    </row>
    <row r="153" spans="1:18" x14ac:dyDescent="0.3">
      <c r="A153" t="s">
        <v>215</v>
      </c>
      <c r="B153" s="2">
        <v>45670</v>
      </c>
      <c r="C153" t="s">
        <v>44</v>
      </c>
      <c r="D153" t="s">
        <v>57</v>
      </c>
      <c r="E153" t="s">
        <v>63</v>
      </c>
      <c r="F153" t="s">
        <v>64</v>
      </c>
      <c r="G153">
        <v>1</v>
      </c>
      <c r="H153" s="3">
        <v>7650</v>
      </c>
      <c r="I153" t="s">
        <v>108</v>
      </c>
      <c r="J153" t="s">
        <v>42</v>
      </c>
      <c r="K153" s="3">
        <f t="shared" si="16"/>
        <v>7650</v>
      </c>
      <c r="L153" s="4">
        <f t="shared" si="17"/>
        <v>0.05</v>
      </c>
      <c r="M153" s="3">
        <f t="shared" si="18"/>
        <v>7267.5</v>
      </c>
      <c r="N153" t="e">
        <f t="shared" ca="1" si="19"/>
        <v>#NAME?</v>
      </c>
      <c r="O153" t="str">
        <f t="shared" si="20"/>
        <v>January</v>
      </c>
      <c r="P153">
        <f t="shared" si="21"/>
        <v>1</v>
      </c>
      <c r="Q153">
        <f t="shared" si="22"/>
        <v>2025</v>
      </c>
      <c r="R153" t="str">
        <f t="shared" si="23"/>
        <v>Q1</v>
      </c>
    </row>
    <row r="154" spans="1:18" x14ac:dyDescent="0.3">
      <c r="A154" t="s">
        <v>216</v>
      </c>
      <c r="B154" s="2">
        <v>45817</v>
      </c>
      <c r="C154" t="s">
        <v>40</v>
      </c>
      <c r="D154" t="s">
        <v>23</v>
      </c>
      <c r="E154" t="s">
        <v>37</v>
      </c>
      <c r="F154" t="s">
        <v>14</v>
      </c>
      <c r="G154">
        <v>2</v>
      </c>
      <c r="H154" s="3">
        <v>53710</v>
      </c>
      <c r="I154" t="s">
        <v>141</v>
      </c>
      <c r="J154" t="s">
        <v>31</v>
      </c>
      <c r="K154" s="3">
        <f t="shared" si="16"/>
        <v>107420</v>
      </c>
      <c r="L154" s="4">
        <f t="shared" si="17"/>
        <v>0.1</v>
      </c>
      <c r="M154" s="3">
        <f t="shared" si="18"/>
        <v>96678</v>
      </c>
      <c r="N154" t="e">
        <f t="shared" ca="1" si="19"/>
        <v>#NAME?</v>
      </c>
      <c r="O154" t="str">
        <f t="shared" si="20"/>
        <v>June</v>
      </c>
      <c r="P154">
        <f t="shared" si="21"/>
        <v>6</v>
      </c>
      <c r="Q154">
        <f t="shared" si="22"/>
        <v>2025</v>
      </c>
      <c r="R154" t="str">
        <f t="shared" si="23"/>
        <v>Q2</v>
      </c>
    </row>
    <row r="155" spans="1:18" x14ac:dyDescent="0.3">
      <c r="A155" t="s">
        <v>217</v>
      </c>
      <c r="B155" s="2">
        <v>45984</v>
      </c>
      <c r="C155" t="s">
        <v>11</v>
      </c>
      <c r="D155" t="s">
        <v>29</v>
      </c>
      <c r="E155" t="s">
        <v>45</v>
      </c>
      <c r="F155" t="s">
        <v>46</v>
      </c>
      <c r="G155">
        <v>1</v>
      </c>
      <c r="H155" s="3">
        <v>11000</v>
      </c>
      <c r="I155" t="s">
        <v>94</v>
      </c>
      <c r="J155" t="s">
        <v>31</v>
      </c>
      <c r="K155" s="3">
        <f t="shared" si="16"/>
        <v>11000</v>
      </c>
      <c r="L155" s="4">
        <f t="shared" si="17"/>
        <v>0.05</v>
      </c>
      <c r="M155" s="3">
        <f t="shared" si="18"/>
        <v>10450</v>
      </c>
      <c r="N155" t="e">
        <f t="shared" ca="1" si="19"/>
        <v>#NAME?</v>
      </c>
      <c r="O155" t="str">
        <f t="shared" si="20"/>
        <v>November</v>
      </c>
      <c r="P155">
        <f t="shared" si="21"/>
        <v>11</v>
      </c>
      <c r="Q155">
        <f t="shared" si="22"/>
        <v>2025</v>
      </c>
      <c r="R155" t="str">
        <f t="shared" si="23"/>
        <v>Q4</v>
      </c>
    </row>
    <row r="156" spans="1:18" x14ac:dyDescent="0.3">
      <c r="A156" t="s">
        <v>218</v>
      </c>
      <c r="B156" s="2">
        <v>45844</v>
      </c>
      <c r="C156" t="s">
        <v>11</v>
      </c>
      <c r="D156" t="s">
        <v>29</v>
      </c>
      <c r="E156" t="s">
        <v>24</v>
      </c>
      <c r="F156" t="s">
        <v>25</v>
      </c>
      <c r="G156">
        <v>1</v>
      </c>
      <c r="H156" s="3">
        <v>840</v>
      </c>
      <c r="I156" t="s">
        <v>141</v>
      </c>
      <c r="J156" t="s">
        <v>16</v>
      </c>
      <c r="K156" s="3">
        <f t="shared" si="16"/>
        <v>840</v>
      </c>
      <c r="L156" s="4">
        <f t="shared" si="17"/>
        <v>0.05</v>
      </c>
      <c r="M156" s="3">
        <f t="shared" si="18"/>
        <v>798</v>
      </c>
      <c r="N156" t="e">
        <f t="shared" ca="1" si="19"/>
        <v>#NAME?</v>
      </c>
      <c r="O156" t="str">
        <f t="shared" si="20"/>
        <v>July</v>
      </c>
      <c r="P156">
        <f t="shared" si="21"/>
        <v>7</v>
      </c>
      <c r="Q156">
        <f t="shared" si="22"/>
        <v>2025</v>
      </c>
      <c r="R156" t="str">
        <f t="shared" si="23"/>
        <v>Q3</v>
      </c>
    </row>
    <row r="157" spans="1:18" x14ac:dyDescent="0.3">
      <c r="A157" t="s">
        <v>219</v>
      </c>
      <c r="B157" s="2">
        <v>45900</v>
      </c>
      <c r="C157" t="s">
        <v>11</v>
      </c>
      <c r="D157" t="s">
        <v>12</v>
      </c>
      <c r="E157" t="s">
        <v>63</v>
      </c>
      <c r="F157" t="s">
        <v>64</v>
      </c>
      <c r="G157">
        <v>3</v>
      </c>
      <c r="H157" s="3">
        <v>6950</v>
      </c>
      <c r="I157" t="s">
        <v>55</v>
      </c>
      <c r="J157" t="s">
        <v>16</v>
      </c>
      <c r="K157" s="3">
        <f t="shared" si="16"/>
        <v>20850</v>
      </c>
      <c r="L157" s="4">
        <f t="shared" si="17"/>
        <v>0.05</v>
      </c>
      <c r="M157" s="3">
        <f t="shared" si="18"/>
        <v>19807.5</v>
      </c>
      <c r="N157" t="e">
        <f t="shared" ca="1" si="19"/>
        <v>#NAME?</v>
      </c>
      <c r="O157" t="str">
        <f t="shared" si="20"/>
        <v>August</v>
      </c>
      <c r="P157">
        <f t="shared" si="21"/>
        <v>8</v>
      </c>
      <c r="Q157">
        <f t="shared" si="22"/>
        <v>2025</v>
      </c>
      <c r="R157" t="str">
        <f t="shared" si="23"/>
        <v>Q3</v>
      </c>
    </row>
    <row r="158" spans="1:18" x14ac:dyDescent="0.3">
      <c r="A158" t="s">
        <v>220</v>
      </c>
      <c r="B158" s="2">
        <v>45743</v>
      </c>
      <c r="C158" t="s">
        <v>28</v>
      </c>
      <c r="D158" t="s">
        <v>12</v>
      </c>
      <c r="E158" t="s">
        <v>24</v>
      </c>
      <c r="F158" t="s">
        <v>25</v>
      </c>
      <c r="G158">
        <v>1</v>
      </c>
      <c r="H158" s="3">
        <v>820</v>
      </c>
      <c r="I158" t="s">
        <v>69</v>
      </c>
      <c r="J158" t="s">
        <v>16</v>
      </c>
      <c r="K158" s="3">
        <f t="shared" si="16"/>
        <v>820</v>
      </c>
      <c r="L158" s="4">
        <f t="shared" si="17"/>
        <v>0.05</v>
      </c>
      <c r="M158" s="3">
        <f t="shared" si="18"/>
        <v>779</v>
      </c>
      <c r="N158" t="e">
        <f t="shared" ca="1" si="19"/>
        <v>#NAME?</v>
      </c>
      <c r="O158" t="str">
        <f t="shared" si="20"/>
        <v>March</v>
      </c>
      <c r="P158">
        <f t="shared" si="21"/>
        <v>3</v>
      </c>
      <c r="Q158">
        <f t="shared" si="22"/>
        <v>2025</v>
      </c>
      <c r="R158" t="str">
        <f t="shared" si="23"/>
        <v>Q1</v>
      </c>
    </row>
    <row r="159" spans="1:18" x14ac:dyDescent="0.3">
      <c r="A159" t="s">
        <v>221</v>
      </c>
      <c r="B159" s="2">
        <v>45941</v>
      </c>
      <c r="C159" t="s">
        <v>44</v>
      </c>
      <c r="D159" t="s">
        <v>12</v>
      </c>
      <c r="E159" t="s">
        <v>13</v>
      </c>
      <c r="F159" t="s">
        <v>14</v>
      </c>
      <c r="G159">
        <v>10</v>
      </c>
      <c r="H159" s="3">
        <v>18980</v>
      </c>
      <c r="I159" t="s">
        <v>101</v>
      </c>
      <c r="J159" t="s">
        <v>31</v>
      </c>
      <c r="K159" s="3">
        <f t="shared" si="16"/>
        <v>189800</v>
      </c>
      <c r="L159" s="4">
        <f t="shared" si="17"/>
        <v>0.1</v>
      </c>
      <c r="M159" s="3">
        <f t="shared" si="18"/>
        <v>170820</v>
      </c>
      <c r="N159" t="e">
        <f t="shared" ca="1" si="19"/>
        <v>#NAME?</v>
      </c>
      <c r="O159" t="str">
        <f t="shared" si="20"/>
        <v>October</v>
      </c>
      <c r="P159">
        <f t="shared" si="21"/>
        <v>10</v>
      </c>
      <c r="Q159">
        <f t="shared" si="22"/>
        <v>2025</v>
      </c>
      <c r="R159" t="str">
        <f t="shared" si="23"/>
        <v>Q4</v>
      </c>
    </row>
    <row r="160" spans="1:18" x14ac:dyDescent="0.3">
      <c r="A160" t="s">
        <v>222</v>
      </c>
      <c r="B160" s="2">
        <v>45723</v>
      </c>
      <c r="C160" t="s">
        <v>28</v>
      </c>
      <c r="D160" t="s">
        <v>18</v>
      </c>
      <c r="E160" t="s">
        <v>37</v>
      </c>
      <c r="F160" t="s">
        <v>14</v>
      </c>
      <c r="G160">
        <v>1</v>
      </c>
      <c r="H160" s="3">
        <v>54950</v>
      </c>
      <c r="I160" t="s">
        <v>108</v>
      </c>
      <c r="J160" t="s">
        <v>16</v>
      </c>
      <c r="K160" s="3">
        <f t="shared" si="16"/>
        <v>54950</v>
      </c>
      <c r="L160" s="4">
        <f t="shared" si="17"/>
        <v>0.1</v>
      </c>
      <c r="M160" s="3">
        <f t="shared" si="18"/>
        <v>49455</v>
      </c>
      <c r="N160" t="e">
        <f t="shared" ca="1" si="19"/>
        <v>#NAME?</v>
      </c>
      <c r="O160" t="str">
        <f t="shared" si="20"/>
        <v>March</v>
      </c>
      <c r="P160">
        <f t="shared" si="21"/>
        <v>3</v>
      </c>
      <c r="Q160">
        <f t="shared" si="22"/>
        <v>2025</v>
      </c>
      <c r="R160" t="str">
        <f t="shared" si="23"/>
        <v>Q1</v>
      </c>
    </row>
    <row r="161" spans="1:18" x14ac:dyDescent="0.3">
      <c r="A161" t="s">
        <v>223</v>
      </c>
      <c r="B161" s="2">
        <v>45827</v>
      </c>
      <c r="C161" t="s">
        <v>11</v>
      </c>
      <c r="D161" t="s">
        <v>29</v>
      </c>
      <c r="E161" t="s">
        <v>33</v>
      </c>
      <c r="F161" t="s">
        <v>25</v>
      </c>
      <c r="G161">
        <v>1</v>
      </c>
      <c r="H161" s="3">
        <v>1590</v>
      </c>
      <c r="I161" t="s">
        <v>51</v>
      </c>
      <c r="J161" t="s">
        <v>42</v>
      </c>
      <c r="K161" s="3">
        <f t="shared" si="16"/>
        <v>1590</v>
      </c>
      <c r="L161" s="4">
        <f t="shared" si="17"/>
        <v>0.05</v>
      </c>
      <c r="M161" s="3">
        <f t="shared" si="18"/>
        <v>1510.5</v>
      </c>
      <c r="N161" t="e">
        <f t="shared" ca="1" si="19"/>
        <v>#NAME?</v>
      </c>
      <c r="O161" t="str">
        <f t="shared" si="20"/>
        <v>June</v>
      </c>
      <c r="P161">
        <f t="shared" si="21"/>
        <v>6</v>
      </c>
      <c r="Q161">
        <f t="shared" si="22"/>
        <v>2025</v>
      </c>
      <c r="R161" t="str">
        <f t="shared" si="23"/>
        <v>Q2</v>
      </c>
    </row>
    <row r="162" spans="1:18" x14ac:dyDescent="0.3">
      <c r="A162" t="s">
        <v>224</v>
      </c>
      <c r="B162" s="2">
        <v>45702</v>
      </c>
      <c r="C162" t="s">
        <v>28</v>
      </c>
      <c r="D162" t="s">
        <v>12</v>
      </c>
      <c r="E162" t="s">
        <v>33</v>
      </c>
      <c r="F162" t="s">
        <v>25</v>
      </c>
      <c r="G162">
        <v>2</v>
      </c>
      <c r="H162" s="3">
        <v>1380</v>
      </c>
      <c r="I162" t="s">
        <v>49</v>
      </c>
      <c r="J162" t="s">
        <v>42</v>
      </c>
      <c r="K162" s="3">
        <f t="shared" si="16"/>
        <v>2760</v>
      </c>
      <c r="L162" s="4">
        <f t="shared" si="17"/>
        <v>0.05</v>
      </c>
      <c r="M162" s="3">
        <f t="shared" si="18"/>
        <v>2622</v>
      </c>
      <c r="N162" t="e">
        <f t="shared" ca="1" si="19"/>
        <v>#NAME?</v>
      </c>
      <c r="O162" t="str">
        <f t="shared" si="20"/>
        <v>February</v>
      </c>
      <c r="P162">
        <f t="shared" si="21"/>
        <v>2</v>
      </c>
      <c r="Q162">
        <f t="shared" si="22"/>
        <v>2025</v>
      </c>
      <c r="R162" t="str">
        <f t="shared" si="23"/>
        <v>Q1</v>
      </c>
    </row>
    <row r="163" spans="1:18" x14ac:dyDescent="0.3">
      <c r="A163" t="s">
        <v>225</v>
      </c>
      <c r="B163" s="2">
        <v>45719</v>
      </c>
      <c r="C163" t="s">
        <v>11</v>
      </c>
      <c r="D163" t="s">
        <v>23</v>
      </c>
      <c r="E163" t="s">
        <v>41</v>
      </c>
      <c r="F163" t="s">
        <v>14</v>
      </c>
      <c r="G163">
        <v>4</v>
      </c>
      <c r="H163" s="3">
        <v>28120</v>
      </c>
      <c r="I163" t="s">
        <v>20</v>
      </c>
      <c r="J163" t="s">
        <v>31</v>
      </c>
      <c r="K163" s="3">
        <f t="shared" si="16"/>
        <v>112480</v>
      </c>
      <c r="L163" s="4">
        <f t="shared" si="17"/>
        <v>0.1</v>
      </c>
      <c r="M163" s="3">
        <f t="shared" si="18"/>
        <v>101232</v>
      </c>
      <c r="N163" t="e">
        <f t="shared" ca="1" si="19"/>
        <v>#NAME?</v>
      </c>
      <c r="O163" t="str">
        <f t="shared" si="20"/>
        <v>March</v>
      </c>
      <c r="P163">
        <f t="shared" si="21"/>
        <v>3</v>
      </c>
      <c r="Q163">
        <f t="shared" si="22"/>
        <v>2025</v>
      </c>
      <c r="R163" t="str">
        <f t="shared" si="23"/>
        <v>Q1</v>
      </c>
    </row>
    <row r="164" spans="1:18" x14ac:dyDescent="0.3">
      <c r="A164" t="s">
        <v>226</v>
      </c>
      <c r="B164" s="2">
        <v>45791</v>
      </c>
      <c r="C164" t="s">
        <v>44</v>
      </c>
      <c r="D164" t="s">
        <v>57</v>
      </c>
      <c r="E164" t="s">
        <v>33</v>
      </c>
      <c r="F164" t="s">
        <v>25</v>
      </c>
      <c r="G164">
        <v>5</v>
      </c>
      <c r="H164" s="3">
        <v>1540</v>
      </c>
      <c r="I164" t="s">
        <v>20</v>
      </c>
      <c r="J164" t="s">
        <v>42</v>
      </c>
      <c r="K164" s="3">
        <f t="shared" si="16"/>
        <v>7700</v>
      </c>
      <c r="L164" s="4">
        <f t="shared" si="17"/>
        <v>0.05</v>
      </c>
      <c r="M164" s="3">
        <f t="shared" si="18"/>
        <v>7315</v>
      </c>
      <c r="N164" t="e">
        <f t="shared" ca="1" si="19"/>
        <v>#NAME?</v>
      </c>
      <c r="O164" t="str">
        <f t="shared" si="20"/>
        <v>May</v>
      </c>
      <c r="P164">
        <f t="shared" si="21"/>
        <v>5</v>
      </c>
      <c r="Q164">
        <f t="shared" si="22"/>
        <v>2025</v>
      </c>
      <c r="R164" t="str">
        <f t="shared" si="23"/>
        <v>Q2</v>
      </c>
    </row>
    <row r="165" spans="1:18" x14ac:dyDescent="0.3">
      <c r="A165" t="s">
        <v>227</v>
      </c>
      <c r="B165" s="2">
        <v>45941</v>
      </c>
      <c r="C165" t="s">
        <v>11</v>
      </c>
      <c r="D165" t="s">
        <v>29</v>
      </c>
      <c r="E165" t="s">
        <v>63</v>
      </c>
      <c r="F165" t="s">
        <v>64</v>
      </c>
      <c r="G165">
        <v>10</v>
      </c>
      <c r="H165" s="3">
        <v>8110</v>
      </c>
      <c r="I165" t="s">
        <v>101</v>
      </c>
      <c r="J165" t="s">
        <v>323</v>
      </c>
      <c r="K165" s="3">
        <f t="shared" si="16"/>
        <v>81100</v>
      </c>
      <c r="L165" s="4">
        <f t="shared" si="17"/>
        <v>0.1</v>
      </c>
      <c r="M165" s="3">
        <f t="shared" si="18"/>
        <v>72990</v>
      </c>
      <c r="N165" t="e">
        <f t="shared" ca="1" si="19"/>
        <v>#NAME?</v>
      </c>
      <c r="O165" t="str">
        <f t="shared" si="20"/>
        <v>October</v>
      </c>
      <c r="P165">
        <f t="shared" si="21"/>
        <v>10</v>
      </c>
      <c r="Q165">
        <f t="shared" si="22"/>
        <v>2025</v>
      </c>
      <c r="R165" t="str">
        <f t="shared" si="23"/>
        <v>Q4</v>
      </c>
    </row>
    <row r="166" spans="1:18" x14ac:dyDescent="0.3">
      <c r="A166" t="s">
        <v>228</v>
      </c>
      <c r="B166" s="2">
        <v>45685</v>
      </c>
      <c r="C166" t="s">
        <v>40</v>
      </c>
      <c r="D166" t="s">
        <v>57</v>
      </c>
      <c r="E166" t="s">
        <v>19</v>
      </c>
      <c r="F166" t="s">
        <v>14</v>
      </c>
      <c r="G166">
        <v>4</v>
      </c>
      <c r="H166" s="3">
        <v>4950</v>
      </c>
      <c r="I166" t="s">
        <v>108</v>
      </c>
      <c r="J166" t="s">
        <v>42</v>
      </c>
      <c r="K166" s="3">
        <f t="shared" si="16"/>
        <v>19800</v>
      </c>
      <c r="L166" s="4">
        <f t="shared" si="17"/>
        <v>0.05</v>
      </c>
      <c r="M166" s="3">
        <f t="shared" si="18"/>
        <v>18810</v>
      </c>
      <c r="N166" t="e">
        <f t="shared" ca="1" si="19"/>
        <v>#NAME?</v>
      </c>
      <c r="O166" t="str">
        <f t="shared" si="20"/>
        <v>January</v>
      </c>
      <c r="P166">
        <f t="shared" si="21"/>
        <v>1</v>
      </c>
      <c r="Q166">
        <f t="shared" si="22"/>
        <v>2025</v>
      </c>
      <c r="R166" t="str">
        <f t="shared" si="23"/>
        <v>Q1</v>
      </c>
    </row>
    <row r="167" spans="1:18" x14ac:dyDescent="0.3">
      <c r="A167" t="s">
        <v>229</v>
      </c>
      <c r="B167" s="2">
        <v>45765</v>
      </c>
      <c r="C167" t="s">
        <v>11</v>
      </c>
      <c r="D167" t="s">
        <v>18</v>
      </c>
      <c r="E167" t="s">
        <v>30</v>
      </c>
      <c r="F167" t="s">
        <v>25</v>
      </c>
      <c r="G167">
        <v>4</v>
      </c>
      <c r="H167" s="3">
        <v>2400</v>
      </c>
      <c r="I167" t="s">
        <v>15</v>
      </c>
      <c r="J167" t="s">
        <v>16</v>
      </c>
      <c r="K167" s="3">
        <f t="shared" si="16"/>
        <v>9600</v>
      </c>
      <c r="L167" s="4">
        <f t="shared" si="17"/>
        <v>0.05</v>
      </c>
      <c r="M167" s="3">
        <f t="shared" si="18"/>
        <v>9120</v>
      </c>
      <c r="N167" t="e">
        <f t="shared" ca="1" si="19"/>
        <v>#NAME?</v>
      </c>
      <c r="O167" t="str">
        <f t="shared" si="20"/>
        <v>April</v>
      </c>
      <c r="P167">
        <f t="shared" si="21"/>
        <v>4</v>
      </c>
      <c r="Q167">
        <f t="shared" si="22"/>
        <v>2025</v>
      </c>
      <c r="R167" t="str">
        <f t="shared" si="23"/>
        <v>Q2</v>
      </c>
    </row>
    <row r="168" spans="1:18" x14ac:dyDescent="0.3">
      <c r="A168" t="s">
        <v>230</v>
      </c>
      <c r="B168" s="2">
        <v>45701</v>
      </c>
      <c r="C168" t="s">
        <v>28</v>
      </c>
      <c r="D168" t="s">
        <v>18</v>
      </c>
      <c r="E168" t="s">
        <v>24</v>
      </c>
      <c r="F168" t="s">
        <v>25</v>
      </c>
      <c r="G168">
        <v>4</v>
      </c>
      <c r="H168" s="3">
        <v>790</v>
      </c>
      <c r="I168" t="s">
        <v>108</v>
      </c>
      <c r="J168" t="s">
        <v>323</v>
      </c>
      <c r="K168" s="3">
        <f t="shared" si="16"/>
        <v>3160</v>
      </c>
      <c r="L168" s="4">
        <f t="shared" si="17"/>
        <v>0.05</v>
      </c>
      <c r="M168" s="3">
        <f t="shared" si="18"/>
        <v>3002</v>
      </c>
      <c r="N168" t="e">
        <f t="shared" ca="1" si="19"/>
        <v>#NAME?</v>
      </c>
      <c r="O168" t="str">
        <f t="shared" si="20"/>
        <v>February</v>
      </c>
      <c r="P168">
        <f t="shared" si="21"/>
        <v>2</v>
      </c>
      <c r="Q168">
        <f t="shared" si="22"/>
        <v>2025</v>
      </c>
      <c r="R168" t="str">
        <f t="shared" si="23"/>
        <v>Q1</v>
      </c>
    </row>
    <row r="169" spans="1:18" x14ac:dyDescent="0.3">
      <c r="A169" t="s">
        <v>231</v>
      </c>
      <c r="B169" s="2">
        <v>45997</v>
      </c>
      <c r="C169" t="s">
        <v>44</v>
      </c>
      <c r="D169" t="s">
        <v>18</v>
      </c>
      <c r="E169" t="s">
        <v>63</v>
      </c>
      <c r="F169" t="s">
        <v>64</v>
      </c>
      <c r="G169">
        <v>1</v>
      </c>
      <c r="H169" s="3">
        <v>7590</v>
      </c>
      <c r="I169" t="s">
        <v>38</v>
      </c>
      <c r="J169" t="s">
        <v>323</v>
      </c>
      <c r="K169" s="3">
        <f t="shared" si="16"/>
        <v>7590</v>
      </c>
      <c r="L169" s="4">
        <f t="shared" si="17"/>
        <v>0.05</v>
      </c>
      <c r="M169" s="3">
        <f t="shared" si="18"/>
        <v>7210.5</v>
      </c>
      <c r="N169" t="e">
        <f t="shared" ca="1" si="19"/>
        <v>#NAME?</v>
      </c>
      <c r="O169" t="str">
        <f t="shared" si="20"/>
        <v>December</v>
      </c>
      <c r="P169">
        <f t="shared" si="21"/>
        <v>12</v>
      </c>
      <c r="Q169">
        <f t="shared" si="22"/>
        <v>2025</v>
      </c>
      <c r="R169" t="str">
        <f t="shared" si="23"/>
        <v>Q4</v>
      </c>
    </row>
    <row r="170" spans="1:18" x14ac:dyDescent="0.3">
      <c r="A170" t="s">
        <v>232</v>
      </c>
      <c r="B170" s="2">
        <v>45943</v>
      </c>
      <c r="C170" t="s">
        <v>28</v>
      </c>
      <c r="D170" t="s">
        <v>12</v>
      </c>
      <c r="E170" t="s">
        <v>63</v>
      </c>
      <c r="F170" t="s">
        <v>64</v>
      </c>
      <c r="G170">
        <v>4</v>
      </c>
      <c r="H170" s="3">
        <v>7360</v>
      </c>
      <c r="I170" t="s">
        <v>55</v>
      </c>
      <c r="J170" t="s">
        <v>323</v>
      </c>
      <c r="K170" s="3">
        <f t="shared" si="16"/>
        <v>29440</v>
      </c>
      <c r="L170" s="4">
        <f t="shared" si="17"/>
        <v>0.05</v>
      </c>
      <c r="M170" s="3">
        <f t="shared" si="18"/>
        <v>27968</v>
      </c>
      <c r="N170" t="e">
        <f t="shared" ca="1" si="19"/>
        <v>#NAME?</v>
      </c>
      <c r="O170" t="str">
        <f t="shared" si="20"/>
        <v>October</v>
      </c>
      <c r="P170">
        <f t="shared" si="21"/>
        <v>10</v>
      </c>
      <c r="Q170">
        <f t="shared" si="22"/>
        <v>2025</v>
      </c>
      <c r="R170" t="str">
        <f t="shared" si="23"/>
        <v>Q4</v>
      </c>
    </row>
    <row r="171" spans="1:18" x14ac:dyDescent="0.3">
      <c r="A171" t="s">
        <v>233</v>
      </c>
      <c r="B171" s="2">
        <v>45988</v>
      </c>
      <c r="C171" t="s">
        <v>44</v>
      </c>
      <c r="D171" t="s">
        <v>57</v>
      </c>
      <c r="E171" t="s">
        <v>45</v>
      </c>
      <c r="F171" t="s">
        <v>46</v>
      </c>
      <c r="G171">
        <v>10</v>
      </c>
      <c r="H171" s="3">
        <v>12570</v>
      </c>
      <c r="I171" t="s">
        <v>65</v>
      </c>
      <c r="J171" t="s">
        <v>31</v>
      </c>
      <c r="K171" s="3">
        <f t="shared" si="16"/>
        <v>125700</v>
      </c>
      <c r="L171" s="4">
        <f t="shared" si="17"/>
        <v>0.1</v>
      </c>
      <c r="M171" s="3">
        <f t="shared" si="18"/>
        <v>113130</v>
      </c>
      <c r="N171" t="e">
        <f t="shared" ca="1" si="19"/>
        <v>#NAME?</v>
      </c>
      <c r="O171" t="str">
        <f t="shared" si="20"/>
        <v>November</v>
      </c>
      <c r="P171">
        <f t="shared" si="21"/>
        <v>11</v>
      </c>
      <c r="Q171">
        <f t="shared" si="22"/>
        <v>2025</v>
      </c>
      <c r="R171" t="str">
        <f t="shared" si="23"/>
        <v>Q4</v>
      </c>
    </row>
    <row r="172" spans="1:18" x14ac:dyDescent="0.3">
      <c r="A172" t="s">
        <v>234</v>
      </c>
      <c r="B172" s="2">
        <v>45785</v>
      </c>
      <c r="C172" t="s">
        <v>40</v>
      </c>
      <c r="D172" t="s">
        <v>23</v>
      </c>
      <c r="E172" t="s">
        <v>13</v>
      </c>
      <c r="F172" t="s">
        <v>14</v>
      </c>
      <c r="G172">
        <v>4</v>
      </c>
      <c r="H172" s="3">
        <v>17860</v>
      </c>
      <c r="I172" t="s">
        <v>69</v>
      </c>
      <c r="J172" t="s">
        <v>323</v>
      </c>
      <c r="K172" s="3">
        <f t="shared" si="16"/>
        <v>71440</v>
      </c>
      <c r="L172" s="4">
        <f t="shared" si="17"/>
        <v>0.1</v>
      </c>
      <c r="M172" s="3">
        <f t="shared" si="18"/>
        <v>64296</v>
      </c>
      <c r="N172" t="e">
        <f t="shared" ca="1" si="19"/>
        <v>#NAME?</v>
      </c>
      <c r="O172" t="str">
        <f t="shared" si="20"/>
        <v>May</v>
      </c>
      <c r="P172">
        <f t="shared" si="21"/>
        <v>5</v>
      </c>
      <c r="Q172">
        <f t="shared" si="22"/>
        <v>2025</v>
      </c>
      <c r="R172" t="str">
        <f t="shared" si="23"/>
        <v>Q2</v>
      </c>
    </row>
    <row r="173" spans="1:18" x14ac:dyDescent="0.3">
      <c r="A173" t="s">
        <v>235</v>
      </c>
      <c r="B173" s="2">
        <v>46005</v>
      </c>
      <c r="C173" t="s">
        <v>40</v>
      </c>
      <c r="D173" t="s">
        <v>36</v>
      </c>
      <c r="E173" t="s">
        <v>13</v>
      </c>
      <c r="F173" t="s">
        <v>14</v>
      </c>
      <c r="G173">
        <v>1</v>
      </c>
      <c r="H173" s="3">
        <v>16450</v>
      </c>
      <c r="I173" t="s">
        <v>49</v>
      </c>
      <c r="J173" t="s">
        <v>323</v>
      </c>
      <c r="K173" s="3">
        <f t="shared" si="16"/>
        <v>16450</v>
      </c>
      <c r="L173" s="4">
        <f t="shared" si="17"/>
        <v>0.05</v>
      </c>
      <c r="M173" s="3">
        <f t="shared" si="18"/>
        <v>15627.5</v>
      </c>
      <c r="N173" t="e">
        <f t="shared" ca="1" si="19"/>
        <v>#NAME?</v>
      </c>
      <c r="O173" t="str">
        <f t="shared" si="20"/>
        <v>December</v>
      </c>
      <c r="P173">
        <f t="shared" si="21"/>
        <v>12</v>
      </c>
      <c r="Q173">
        <f t="shared" si="22"/>
        <v>2025</v>
      </c>
      <c r="R173" t="str">
        <f t="shared" si="23"/>
        <v>Q4</v>
      </c>
    </row>
    <row r="174" spans="1:18" x14ac:dyDescent="0.3">
      <c r="A174" t="s">
        <v>236</v>
      </c>
      <c r="B174" s="2">
        <v>45888</v>
      </c>
      <c r="C174" t="s">
        <v>11</v>
      </c>
      <c r="D174" t="s">
        <v>12</v>
      </c>
      <c r="E174" t="s">
        <v>30</v>
      </c>
      <c r="F174" t="s">
        <v>25</v>
      </c>
      <c r="G174">
        <v>10</v>
      </c>
      <c r="H174" s="3">
        <v>2540</v>
      </c>
      <c r="I174" t="s">
        <v>65</v>
      </c>
      <c r="J174" t="s">
        <v>42</v>
      </c>
      <c r="K174" s="3">
        <f t="shared" si="16"/>
        <v>25400</v>
      </c>
      <c r="L174" s="4">
        <f t="shared" si="17"/>
        <v>0.05</v>
      </c>
      <c r="M174" s="3">
        <f t="shared" si="18"/>
        <v>24130</v>
      </c>
      <c r="N174" t="e">
        <f t="shared" ca="1" si="19"/>
        <v>#NAME?</v>
      </c>
      <c r="O174" t="str">
        <f t="shared" si="20"/>
        <v>August</v>
      </c>
      <c r="P174">
        <f t="shared" si="21"/>
        <v>8</v>
      </c>
      <c r="Q174">
        <f t="shared" si="22"/>
        <v>2025</v>
      </c>
      <c r="R174" t="str">
        <f t="shared" si="23"/>
        <v>Q3</v>
      </c>
    </row>
    <row r="175" spans="1:18" x14ac:dyDescent="0.3">
      <c r="A175" t="s">
        <v>237</v>
      </c>
      <c r="B175" s="2">
        <v>45847</v>
      </c>
      <c r="C175" t="s">
        <v>44</v>
      </c>
      <c r="D175" t="s">
        <v>23</v>
      </c>
      <c r="E175" t="s">
        <v>41</v>
      </c>
      <c r="F175" t="s">
        <v>14</v>
      </c>
      <c r="G175">
        <v>4</v>
      </c>
      <c r="H175" s="3">
        <v>28130</v>
      </c>
      <c r="I175" t="s">
        <v>49</v>
      </c>
      <c r="J175" t="s">
        <v>16</v>
      </c>
      <c r="K175" s="3">
        <f t="shared" si="16"/>
        <v>112520</v>
      </c>
      <c r="L175" s="4">
        <f t="shared" si="17"/>
        <v>0.1</v>
      </c>
      <c r="M175" s="3">
        <f t="shared" si="18"/>
        <v>101268</v>
      </c>
      <c r="N175" t="e">
        <f t="shared" ca="1" si="19"/>
        <v>#NAME?</v>
      </c>
      <c r="O175" t="str">
        <f t="shared" si="20"/>
        <v>July</v>
      </c>
      <c r="P175">
        <f t="shared" si="21"/>
        <v>7</v>
      </c>
      <c r="Q175">
        <f t="shared" si="22"/>
        <v>2025</v>
      </c>
      <c r="R175" t="str">
        <f t="shared" si="23"/>
        <v>Q3</v>
      </c>
    </row>
    <row r="176" spans="1:18" x14ac:dyDescent="0.3">
      <c r="A176" t="s">
        <v>238</v>
      </c>
      <c r="B176" s="2">
        <v>45882</v>
      </c>
      <c r="C176" t="s">
        <v>40</v>
      </c>
      <c r="D176" t="s">
        <v>57</v>
      </c>
      <c r="E176" t="s">
        <v>63</v>
      </c>
      <c r="F176" t="s">
        <v>64</v>
      </c>
      <c r="G176">
        <v>1</v>
      </c>
      <c r="H176" s="3">
        <v>7190</v>
      </c>
      <c r="I176" t="s">
        <v>20</v>
      </c>
      <c r="J176" t="s">
        <v>323</v>
      </c>
      <c r="K176" s="3">
        <f t="shared" si="16"/>
        <v>7190</v>
      </c>
      <c r="L176" s="4">
        <f t="shared" si="17"/>
        <v>0.05</v>
      </c>
      <c r="M176" s="3">
        <f t="shared" si="18"/>
        <v>6830.5</v>
      </c>
      <c r="N176" t="e">
        <f t="shared" ca="1" si="19"/>
        <v>#NAME?</v>
      </c>
      <c r="O176" t="str">
        <f t="shared" si="20"/>
        <v>August</v>
      </c>
      <c r="P176">
        <f t="shared" si="21"/>
        <v>8</v>
      </c>
      <c r="Q176">
        <f t="shared" si="22"/>
        <v>2025</v>
      </c>
      <c r="R176" t="str">
        <f t="shared" si="23"/>
        <v>Q3</v>
      </c>
    </row>
    <row r="177" spans="1:18" x14ac:dyDescent="0.3">
      <c r="A177" t="s">
        <v>239</v>
      </c>
      <c r="B177" s="2">
        <v>45940</v>
      </c>
      <c r="C177" t="s">
        <v>44</v>
      </c>
      <c r="D177" t="s">
        <v>36</v>
      </c>
      <c r="E177" t="s">
        <v>30</v>
      </c>
      <c r="F177" t="s">
        <v>25</v>
      </c>
      <c r="G177">
        <v>10</v>
      </c>
      <c r="H177" s="3">
        <v>2300</v>
      </c>
      <c r="I177" t="s">
        <v>26</v>
      </c>
      <c r="J177" t="s">
        <v>16</v>
      </c>
      <c r="K177" s="3">
        <f t="shared" si="16"/>
        <v>23000</v>
      </c>
      <c r="L177" s="4">
        <f t="shared" si="17"/>
        <v>0.05</v>
      </c>
      <c r="M177" s="3">
        <f t="shared" si="18"/>
        <v>21850</v>
      </c>
      <c r="N177" t="e">
        <f t="shared" ca="1" si="19"/>
        <v>#NAME?</v>
      </c>
      <c r="O177" t="str">
        <f t="shared" si="20"/>
        <v>October</v>
      </c>
      <c r="P177">
        <f t="shared" si="21"/>
        <v>10</v>
      </c>
      <c r="Q177">
        <f t="shared" si="22"/>
        <v>2025</v>
      </c>
      <c r="R177" t="str">
        <f t="shared" si="23"/>
        <v>Q4</v>
      </c>
    </row>
    <row r="178" spans="1:18" x14ac:dyDescent="0.3">
      <c r="A178" t="s">
        <v>240</v>
      </c>
      <c r="B178" s="2">
        <v>45778</v>
      </c>
      <c r="C178" t="s">
        <v>28</v>
      </c>
      <c r="D178" t="s">
        <v>36</v>
      </c>
      <c r="E178" t="s">
        <v>19</v>
      </c>
      <c r="F178" t="s">
        <v>14</v>
      </c>
      <c r="G178">
        <v>2</v>
      </c>
      <c r="H178" s="3">
        <v>4760</v>
      </c>
      <c r="I178" t="s">
        <v>51</v>
      </c>
      <c r="J178" t="s">
        <v>16</v>
      </c>
      <c r="K178" s="3">
        <f t="shared" si="16"/>
        <v>9520</v>
      </c>
      <c r="L178" s="4">
        <f t="shared" si="17"/>
        <v>0.05</v>
      </c>
      <c r="M178" s="3">
        <f t="shared" si="18"/>
        <v>9044</v>
      </c>
      <c r="N178" t="e">
        <f t="shared" ca="1" si="19"/>
        <v>#NAME?</v>
      </c>
      <c r="O178" t="str">
        <f t="shared" si="20"/>
        <v>May</v>
      </c>
      <c r="P178">
        <f t="shared" si="21"/>
        <v>5</v>
      </c>
      <c r="Q178">
        <f t="shared" si="22"/>
        <v>2025</v>
      </c>
      <c r="R178" t="str">
        <f t="shared" si="23"/>
        <v>Q2</v>
      </c>
    </row>
    <row r="179" spans="1:18" x14ac:dyDescent="0.3">
      <c r="A179" t="s">
        <v>241</v>
      </c>
      <c r="B179" s="2">
        <v>45773</v>
      </c>
      <c r="C179" t="s">
        <v>44</v>
      </c>
      <c r="D179" t="s">
        <v>18</v>
      </c>
      <c r="E179" t="s">
        <v>63</v>
      </c>
      <c r="F179" t="s">
        <v>64</v>
      </c>
      <c r="G179">
        <v>5</v>
      </c>
      <c r="H179" s="3">
        <v>7450</v>
      </c>
      <c r="I179" t="s">
        <v>108</v>
      </c>
      <c r="J179" t="s">
        <v>31</v>
      </c>
      <c r="K179" s="3">
        <f t="shared" si="16"/>
        <v>37250</v>
      </c>
      <c r="L179" s="4">
        <f t="shared" si="17"/>
        <v>0.05</v>
      </c>
      <c r="M179" s="3">
        <f t="shared" si="18"/>
        <v>35387.5</v>
      </c>
      <c r="N179" t="e">
        <f t="shared" ca="1" si="19"/>
        <v>#NAME?</v>
      </c>
      <c r="O179" t="str">
        <f t="shared" si="20"/>
        <v>April</v>
      </c>
      <c r="P179">
        <f t="shared" si="21"/>
        <v>4</v>
      </c>
      <c r="Q179">
        <f t="shared" si="22"/>
        <v>2025</v>
      </c>
      <c r="R179" t="str">
        <f t="shared" si="23"/>
        <v>Q2</v>
      </c>
    </row>
    <row r="180" spans="1:18" x14ac:dyDescent="0.3">
      <c r="A180" t="s">
        <v>242</v>
      </c>
      <c r="B180" s="2">
        <v>45890</v>
      </c>
      <c r="C180" t="s">
        <v>28</v>
      </c>
      <c r="D180" t="s">
        <v>23</v>
      </c>
      <c r="E180" t="s">
        <v>24</v>
      </c>
      <c r="F180" t="s">
        <v>25</v>
      </c>
      <c r="G180">
        <v>5</v>
      </c>
      <c r="H180" s="3">
        <v>870</v>
      </c>
      <c r="I180" t="s">
        <v>72</v>
      </c>
      <c r="J180" t="s">
        <v>323</v>
      </c>
      <c r="K180" s="3">
        <f t="shared" si="16"/>
        <v>4350</v>
      </c>
      <c r="L180" s="4">
        <f t="shared" si="17"/>
        <v>0.05</v>
      </c>
      <c r="M180" s="3">
        <f t="shared" si="18"/>
        <v>4132.5</v>
      </c>
      <c r="N180" t="e">
        <f t="shared" ca="1" si="19"/>
        <v>#NAME?</v>
      </c>
      <c r="O180" t="str">
        <f t="shared" si="20"/>
        <v>August</v>
      </c>
      <c r="P180">
        <f t="shared" si="21"/>
        <v>8</v>
      </c>
      <c r="Q180">
        <f t="shared" si="22"/>
        <v>2025</v>
      </c>
      <c r="R180" t="str">
        <f t="shared" si="23"/>
        <v>Q3</v>
      </c>
    </row>
    <row r="181" spans="1:18" x14ac:dyDescent="0.3">
      <c r="A181" t="s">
        <v>243</v>
      </c>
      <c r="B181" s="2">
        <v>45916</v>
      </c>
      <c r="C181" t="s">
        <v>44</v>
      </c>
      <c r="D181" t="s">
        <v>12</v>
      </c>
      <c r="E181" t="s">
        <v>19</v>
      </c>
      <c r="F181" t="s">
        <v>14</v>
      </c>
      <c r="G181">
        <v>1</v>
      </c>
      <c r="H181" s="3">
        <v>4400</v>
      </c>
      <c r="I181" t="s">
        <v>38</v>
      </c>
      <c r="J181" t="s">
        <v>31</v>
      </c>
      <c r="K181" s="3">
        <f t="shared" si="16"/>
        <v>4400</v>
      </c>
      <c r="L181" s="4">
        <f t="shared" si="17"/>
        <v>0.05</v>
      </c>
      <c r="M181" s="3">
        <f t="shared" si="18"/>
        <v>4180</v>
      </c>
      <c r="N181" t="e">
        <f t="shared" ca="1" si="19"/>
        <v>#NAME?</v>
      </c>
      <c r="O181" t="str">
        <f t="shared" si="20"/>
        <v>September</v>
      </c>
      <c r="P181">
        <f t="shared" si="21"/>
        <v>9</v>
      </c>
      <c r="Q181">
        <f t="shared" si="22"/>
        <v>2025</v>
      </c>
      <c r="R181" t="str">
        <f t="shared" si="23"/>
        <v>Q3</v>
      </c>
    </row>
    <row r="182" spans="1:18" x14ac:dyDescent="0.3">
      <c r="A182" t="s">
        <v>244</v>
      </c>
      <c r="B182" s="2">
        <v>46016</v>
      </c>
      <c r="C182" t="s">
        <v>28</v>
      </c>
      <c r="D182" t="s">
        <v>12</v>
      </c>
      <c r="E182" t="s">
        <v>45</v>
      </c>
      <c r="F182" t="s">
        <v>46</v>
      </c>
      <c r="G182">
        <v>2</v>
      </c>
      <c r="H182" s="3">
        <v>10940</v>
      </c>
      <c r="I182" t="s">
        <v>101</v>
      </c>
      <c r="J182" t="s">
        <v>16</v>
      </c>
      <c r="K182" s="3">
        <f t="shared" si="16"/>
        <v>21880</v>
      </c>
      <c r="L182" s="4">
        <f t="shared" si="17"/>
        <v>0.05</v>
      </c>
      <c r="M182" s="3">
        <f t="shared" si="18"/>
        <v>20786</v>
      </c>
      <c r="N182" t="e">
        <f t="shared" ca="1" si="19"/>
        <v>#NAME?</v>
      </c>
      <c r="O182" t="str">
        <f t="shared" si="20"/>
        <v>December</v>
      </c>
      <c r="P182">
        <f t="shared" si="21"/>
        <v>12</v>
      </c>
      <c r="Q182">
        <f t="shared" si="22"/>
        <v>2025</v>
      </c>
      <c r="R182" t="str">
        <f t="shared" si="23"/>
        <v>Q4</v>
      </c>
    </row>
    <row r="183" spans="1:18" x14ac:dyDescent="0.3">
      <c r="A183" t="s">
        <v>245</v>
      </c>
      <c r="B183" s="2">
        <v>45855</v>
      </c>
      <c r="C183" t="s">
        <v>40</v>
      </c>
      <c r="D183" t="s">
        <v>29</v>
      </c>
      <c r="E183" t="s">
        <v>24</v>
      </c>
      <c r="F183" t="s">
        <v>25</v>
      </c>
      <c r="G183">
        <v>1</v>
      </c>
      <c r="H183" s="3">
        <v>750</v>
      </c>
      <c r="I183" t="s">
        <v>15</v>
      </c>
      <c r="J183" t="s">
        <v>42</v>
      </c>
      <c r="K183" s="3">
        <f t="shared" si="16"/>
        <v>750</v>
      </c>
      <c r="L183" s="4">
        <f t="shared" si="17"/>
        <v>0.05</v>
      </c>
      <c r="M183" s="3">
        <f t="shared" si="18"/>
        <v>712.5</v>
      </c>
      <c r="N183" t="e">
        <f t="shared" ca="1" si="19"/>
        <v>#NAME?</v>
      </c>
      <c r="O183" t="str">
        <f t="shared" si="20"/>
        <v>July</v>
      </c>
      <c r="P183">
        <f t="shared" si="21"/>
        <v>7</v>
      </c>
      <c r="Q183">
        <f t="shared" si="22"/>
        <v>2025</v>
      </c>
      <c r="R183" t="str">
        <f t="shared" si="23"/>
        <v>Q3</v>
      </c>
    </row>
    <row r="184" spans="1:18" x14ac:dyDescent="0.3">
      <c r="A184" t="s">
        <v>246</v>
      </c>
      <c r="B184" s="2">
        <v>45794</v>
      </c>
      <c r="C184" t="s">
        <v>28</v>
      </c>
      <c r="D184" t="s">
        <v>23</v>
      </c>
      <c r="E184" t="s">
        <v>37</v>
      </c>
      <c r="F184" t="s">
        <v>14</v>
      </c>
      <c r="G184">
        <v>5</v>
      </c>
      <c r="H184" s="3">
        <v>59370</v>
      </c>
      <c r="I184" t="s">
        <v>69</v>
      </c>
      <c r="J184" t="s">
        <v>31</v>
      </c>
      <c r="K184" s="3">
        <f t="shared" si="16"/>
        <v>296850</v>
      </c>
      <c r="L184" s="4">
        <f t="shared" si="17"/>
        <v>0.1</v>
      </c>
      <c r="M184" s="3">
        <f t="shared" si="18"/>
        <v>267165</v>
      </c>
      <c r="N184" t="e">
        <f t="shared" ca="1" si="19"/>
        <v>#NAME?</v>
      </c>
      <c r="O184" t="str">
        <f t="shared" si="20"/>
        <v>May</v>
      </c>
      <c r="P184">
        <f t="shared" si="21"/>
        <v>5</v>
      </c>
      <c r="Q184">
        <f t="shared" si="22"/>
        <v>2025</v>
      </c>
      <c r="R184" t="str">
        <f t="shared" si="23"/>
        <v>Q2</v>
      </c>
    </row>
    <row r="185" spans="1:18" x14ac:dyDescent="0.3">
      <c r="A185" t="s">
        <v>247</v>
      </c>
      <c r="B185" s="2">
        <v>45975</v>
      </c>
      <c r="C185" t="s">
        <v>44</v>
      </c>
      <c r="D185" t="s">
        <v>18</v>
      </c>
      <c r="E185" t="s">
        <v>41</v>
      </c>
      <c r="F185" t="s">
        <v>14</v>
      </c>
      <c r="G185">
        <v>10</v>
      </c>
      <c r="H185" s="3">
        <v>30210</v>
      </c>
      <c r="I185" t="s">
        <v>94</v>
      </c>
      <c r="J185" t="s">
        <v>323</v>
      </c>
      <c r="K185" s="3">
        <f t="shared" si="16"/>
        <v>302100</v>
      </c>
      <c r="L185" s="4">
        <f t="shared" si="17"/>
        <v>0.1</v>
      </c>
      <c r="M185" s="3">
        <f t="shared" si="18"/>
        <v>271890</v>
      </c>
      <c r="N185" t="e">
        <f t="shared" ca="1" si="19"/>
        <v>#NAME?</v>
      </c>
      <c r="O185" t="str">
        <f t="shared" si="20"/>
        <v>November</v>
      </c>
      <c r="P185">
        <f t="shared" si="21"/>
        <v>11</v>
      </c>
      <c r="Q185">
        <f t="shared" si="22"/>
        <v>2025</v>
      </c>
      <c r="R185" t="str">
        <f t="shared" si="23"/>
        <v>Q4</v>
      </c>
    </row>
    <row r="186" spans="1:18" x14ac:dyDescent="0.3">
      <c r="A186" t="s">
        <v>248</v>
      </c>
      <c r="B186" s="2">
        <v>45822</v>
      </c>
      <c r="C186" t="s">
        <v>44</v>
      </c>
      <c r="D186" t="s">
        <v>12</v>
      </c>
      <c r="E186" t="s">
        <v>63</v>
      </c>
      <c r="F186" t="s">
        <v>64</v>
      </c>
      <c r="G186">
        <v>1</v>
      </c>
      <c r="H186" s="3">
        <v>7160</v>
      </c>
      <c r="I186" t="s">
        <v>38</v>
      </c>
      <c r="J186" t="s">
        <v>323</v>
      </c>
      <c r="K186" s="3">
        <f t="shared" si="16"/>
        <v>7160</v>
      </c>
      <c r="L186" s="4">
        <f t="shared" si="17"/>
        <v>0.05</v>
      </c>
      <c r="M186" s="3">
        <f t="shared" si="18"/>
        <v>6802</v>
      </c>
      <c r="N186" t="e">
        <f t="shared" ca="1" si="19"/>
        <v>#NAME?</v>
      </c>
      <c r="O186" t="str">
        <f t="shared" si="20"/>
        <v>June</v>
      </c>
      <c r="P186">
        <f t="shared" si="21"/>
        <v>6</v>
      </c>
      <c r="Q186">
        <f t="shared" si="22"/>
        <v>2025</v>
      </c>
      <c r="R186" t="str">
        <f t="shared" si="23"/>
        <v>Q2</v>
      </c>
    </row>
    <row r="187" spans="1:18" x14ac:dyDescent="0.3">
      <c r="A187" t="s">
        <v>249</v>
      </c>
      <c r="B187" s="2">
        <v>45882</v>
      </c>
      <c r="C187" t="s">
        <v>44</v>
      </c>
      <c r="D187" t="s">
        <v>57</v>
      </c>
      <c r="E187" t="s">
        <v>13</v>
      </c>
      <c r="F187" t="s">
        <v>14</v>
      </c>
      <c r="G187">
        <v>10</v>
      </c>
      <c r="H187" s="3">
        <v>17380</v>
      </c>
      <c r="I187" t="s">
        <v>94</v>
      </c>
      <c r="J187" t="s">
        <v>16</v>
      </c>
      <c r="K187" s="3">
        <f t="shared" si="16"/>
        <v>173800</v>
      </c>
      <c r="L187" s="4">
        <f t="shared" si="17"/>
        <v>0.1</v>
      </c>
      <c r="M187" s="3">
        <f t="shared" si="18"/>
        <v>156420</v>
      </c>
      <c r="N187" t="e">
        <f t="shared" ca="1" si="19"/>
        <v>#NAME?</v>
      </c>
      <c r="O187" t="str">
        <f t="shared" si="20"/>
        <v>August</v>
      </c>
      <c r="P187">
        <f t="shared" si="21"/>
        <v>8</v>
      </c>
      <c r="Q187">
        <f t="shared" si="22"/>
        <v>2025</v>
      </c>
      <c r="R187" t="str">
        <f t="shared" si="23"/>
        <v>Q3</v>
      </c>
    </row>
    <row r="188" spans="1:18" x14ac:dyDescent="0.3">
      <c r="A188" t="s">
        <v>250</v>
      </c>
      <c r="B188" s="2">
        <v>45964</v>
      </c>
      <c r="C188" t="s">
        <v>40</v>
      </c>
      <c r="D188" t="s">
        <v>29</v>
      </c>
      <c r="E188" t="s">
        <v>13</v>
      </c>
      <c r="F188" t="s">
        <v>14</v>
      </c>
      <c r="G188">
        <v>5</v>
      </c>
      <c r="H188" s="3">
        <v>17110</v>
      </c>
      <c r="I188" t="s">
        <v>81</v>
      </c>
      <c r="J188" t="s">
        <v>31</v>
      </c>
      <c r="K188" s="3">
        <f t="shared" si="16"/>
        <v>85550</v>
      </c>
      <c r="L188" s="4">
        <f t="shared" si="17"/>
        <v>0.1</v>
      </c>
      <c r="M188" s="3">
        <f t="shared" si="18"/>
        <v>76995</v>
      </c>
      <c r="N188" t="e">
        <f t="shared" ca="1" si="19"/>
        <v>#NAME?</v>
      </c>
      <c r="O188" t="str">
        <f t="shared" si="20"/>
        <v>November</v>
      </c>
      <c r="P188">
        <f t="shared" si="21"/>
        <v>11</v>
      </c>
      <c r="Q188">
        <f t="shared" si="22"/>
        <v>2025</v>
      </c>
      <c r="R188" t="str">
        <f t="shared" si="23"/>
        <v>Q4</v>
      </c>
    </row>
    <row r="189" spans="1:18" x14ac:dyDescent="0.3">
      <c r="A189" t="s">
        <v>251</v>
      </c>
      <c r="B189" s="2">
        <v>45891</v>
      </c>
      <c r="C189" t="s">
        <v>11</v>
      </c>
      <c r="D189" t="s">
        <v>57</v>
      </c>
      <c r="E189" t="s">
        <v>19</v>
      </c>
      <c r="F189" t="s">
        <v>14</v>
      </c>
      <c r="G189">
        <v>1</v>
      </c>
      <c r="H189" s="3">
        <v>4120</v>
      </c>
      <c r="I189" t="s">
        <v>81</v>
      </c>
      <c r="J189" t="s">
        <v>323</v>
      </c>
      <c r="K189" s="3">
        <f t="shared" si="16"/>
        <v>4120</v>
      </c>
      <c r="L189" s="4">
        <f t="shared" si="17"/>
        <v>0.05</v>
      </c>
      <c r="M189" s="3">
        <f t="shared" si="18"/>
        <v>3914</v>
      </c>
      <c r="N189" t="e">
        <f t="shared" ca="1" si="19"/>
        <v>#NAME?</v>
      </c>
      <c r="O189" t="str">
        <f t="shared" si="20"/>
        <v>August</v>
      </c>
      <c r="P189">
        <f t="shared" si="21"/>
        <v>8</v>
      </c>
      <c r="Q189">
        <f t="shared" si="22"/>
        <v>2025</v>
      </c>
      <c r="R189" t="str">
        <f t="shared" si="23"/>
        <v>Q3</v>
      </c>
    </row>
    <row r="190" spans="1:18" x14ac:dyDescent="0.3">
      <c r="A190" t="s">
        <v>252</v>
      </c>
      <c r="B190" s="2">
        <v>45829</v>
      </c>
      <c r="C190" t="s">
        <v>11</v>
      </c>
      <c r="D190" t="s">
        <v>23</v>
      </c>
      <c r="E190" t="s">
        <v>37</v>
      </c>
      <c r="F190" t="s">
        <v>14</v>
      </c>
      <c r="G190">
        <v>1</v>
      </c>
      <c r="H190" s="3">
        <v>54950</v>
      </c>
      <c r="I190" t="s">
        <v>72</v>
      </c>
      <c r="J190" t="s">
        <v>42</v>
      </c>
      <c r="K190" s="3">
        <f t="shared" si="16"/>
        <v>54950</v>
      </c>
      <c r="L190" s="4">
        <f t="shared" si="17"/>
        <v>0.1</v>
      </c>
      <c r="M190" s="3">
        <f t="shared" si="18"/>
        <v>49455</v>
      </c>
      <c r="N190" t="e">
        <f t="shared" ca="1" si="19"/>
        <v>#NAME?</v>
      </c>
      <c r="O190" t="str">
        <f t="shared" si="20"/>
        <v>June</v>
      </c>
      <c r="P190">
        <f t="shared" si="21"/>
        <v>6</v>
      </c>
      <c r="Q190">
        <f t="shared" si="22"/>
        <v>2025</v>
      </c>
      <c r="R190" t="str">
        <f t="shared" si="23"/>
        <v>Q2</v>
      </c>
    </row>
    <row r="191" spans="1:18" x14ac:dyDescent="0.3">
      <c r="A191" t="s">
        <v>253</v>
      </c>
      <c r="B191" s="2">
        <v>45809</v>
      </c>
      <c r="C191" t="s">
        <v>11</v>
      </c>
      <c r="D191" t="s">
        <v>29</v>
      </c>
      <c r="E191" t="s">
        <v>33</v>
      </c>
      <c r="F191" t="s">
        <v>25</v>
      </c>
      <c r="G191">
        <v>5</v>
      </c>
      <c r="H191" s="3">
        <v>1550</v>
      </c>
      <c r="I191" t="s">
        <v>69</v>
      </c>
      <c r="J191" t="s">
        <v>323</v>
      </c>
      <c r="K191" s="3">
        <f t="shared" si="16"/>
        <v>7750</v>
      </c>
      <c r="L191" s="4">
        <f t="shared" si="17"/>
        <v>0.05</v>
      </c>
      <c r="M191" s="3">
        <f t="shared" si="18"/>
        <v>7362.5</v>
      </c>
      <c r="N191" t="e">
        <f t="shared" ca="1" si="19"/>
        <v>#NAME?</v>
      </c>
      <c r="O191" t="str">
        <f t="shared" si="20"/>
        <v>June</v>
      </c>
      <c r="P191">
        <f t="shared" si="21"/>
        <v>6</v>
      </c>
      <c r="Q191">
        <f t="shared" si="22"/>
        <v>2025</v>
      </c>
      <c r="R191" t="str">
        <f t="shared" si="23"/>
        <v>Q2</v>
      </c>
    </row>
    <row r="192" spans="1:18" x14ac:dyDescent="0.3">
      <c r="A192" t="s">
        <v>254</v>
      </c>
      <c r="B192" s="2">
        <v>45972</v>
      </c>
      <c r="C192" t="s">
        <v>11</v>
      </c>
      <c r="D192" t="s">
        <v>36</v>
      </c>
      <c r="E192" t="s">
        <v>37</v>
      </c>
      <c r="F192" t="s">
        <v>14</v>
      </c>
      <c r="G192">
        <v>3</v>
      </c>
      <c r="H192" s="3">
        <v>55230</v>
      </c>
      <c r="I192" t="s">
        <v>53</v>
      </c>
      <c r="J192" t="s">
        <v>16</v>
      </c>
      <c r="K192" s="3">
        <f t="shared" si="16"/>
        <v>165690</v>
      </c>
      <c r="L192" s="4">
        <f t="shared" si="17"/>
        <v>0.1</v>
      </c>
      <c r="M192" s="3">
        <f t="shared" si="18"/>
        <v>149121</v>
      </c>
      <c r="N192" t="e">
        <f t="shared" ca="1" si="19"/>
        <v>#NAME?</v>
      </c>
      <c r="O192" t="str">
        <f t="shared" si="20"/>
        <v>November</v>
      </c>
      <c r="P192">
        <f t="shared" si="21"/>
        <v>11</v>
      </c>
      <c r="Q192">
        <f t="shared" si="22"/>
        <v>2025</v>
      </c>
      <c r="R192" t="str">
        <f t="shared" si="23"/>
        <v>Q4</v>
      </c>
    </row>
    <row r="193" spans="1:18" x14ac:dyDescent="0.3">
      <c r="A193" t="s">
        <v>255</v>
      </c>
      <c r="B193" s="2">
        <v>45817</v>
      </c>
      <c r="C193" t="s">
        <v>11</v>
      </c>
      <c r="D193" t="s">
        <v>29</v>
      </c>
      <c r="E193" t="s">
        <v>41</v>
      </c>
      <c r="F193" t="s">
        <v>14</v>
      </c>
      <c r="G193">
        <v>10</v>
      </c>
      <c r="H193" s="3">
        <v>30410</v>
      </c>
      <c r="I193" t="s">
        <v>51</v>
      </c>
      <c r="J193" t="s">
        <v>31</v>
      </c>
      <c r="K193" s="3">
        <f t="shared" si="16"/>
        <v>304100</v>
      </c>
      <c r="L193" s="4">
        <f t="shared" si="17"/>
        <v>0.1</v>
      </c>
      <c r="M193" s="3">
        <f t="shared" si="18"/>
        <v>273690</v>
      </c>
      <c r="N193" t="e">
        <f t="shared" ca="1" si="19"/>
        <v>#NAME?</v>
      </c>
      <c r="O193" t="str">
        <f t="shared" si="20"/>
        <v>June</v>
      </c>
      <c r="P193">
        <f t="shared" si="21"/>
        <v>6</v>
      </c>
      <c r="Q193">
        <f t="shared" si="22"/>
        <v>2025</v>
      </c>
      <c r="R193" t="str">
        <f t="shared" si="23"/>
        <v>Q2</v>
      </c>
    </row>
    <row r="194" spans="1:18" x14ac:dyDescent="0.3">
      <c r="A194" t="s">
        <v>256</v>
      </c>
      <c r="B194" s="2">
        <v>45753</v>
      </c>
      <c r="C194" t="s">
        <v>40</v>
      </c>
      <c r="D194" t="s">
        <v>12</v>
      </c>
      <c r="E194" t="s">
        <v>79</v>
      </c>
      <c r="F194" t="s">
        <v>64</v>
      </c>
      <c r="G194">
        <v>2</v>
      </c>
      <c r="H194" s="3">
        <v>9690</v>
      </c>
      <c r="I194" t="s">
        <v>72</v>
      </c>
      <c r="J194" t="s">
        <v>16</v>
      </c>
      <c r="K194" s="3">
        <f t="shared" ref="K194:K251" si="24">G194*H194</f>
        <v>19380</v>
      </c>
      <c r="L194" s="4">
        <f t="shared" ref="L194:L251" si="25">IF(K194&gt;=50000,10%,5%)</f>
        <v>0.05</v>
      </c>
      <c r="M194" s="3">
        <f t="shared" ref="M194:M251" si="26">K194*(1-L194)</f>
        <v>18411</v>
      </c>
      <c r="N194" t="e">
        <f t="shared" ref="N194:N251" ca="1" si="27">_xludf.IFS(M194&gt;=100000,"Excellent",M194&gt;=50000,"Good",M194&gt;=10000,"Average",TRUE,"Low")</f>
        <v>#NAME?</v>
      </c>
      <c r="O194" t="str">
        <f t="shared" ref="O194:O251" si="28">TEXT(B194,"mmmm")</f>
        <v>April</v>
      </c>
      <c r="P194">
        <f t="shared" ref="P194:P251" si="29">MONTH(B194)</f>
        <v>4</v>
      </c>
      <c r="Q194">
        <f t="shared" ref="Q194:Q251" si="30">YEAR(B194)</f>
        <v>2025</v>
      </c>
      <c r="R194" t="str">
        <f t="shared" ref="R194:R251" si="31">"Q"&amp;ROUNDUP(MONTH(B194)/3,0)</f>
        <v>Q2</v>
      </c>
    </row>
    <row r="195" spans="1:18" x14ac:dyDescent="0.3">
      <c r="A195" t="s">
        <v>257</v>
      </c>
      <c r="B195" s="2">
        <v>45890</v>
      </c>
      <c r="C195" t="s">
        <v>28</v>
      </c>
      <c r="D195" t="s">
        <v>18</v>
      </c>
      <c r="E195" t="s">
        <v>79</v>
      </c>
      <c r="F195" t="s">
        <v>64</v>
      </c>
      <c r="G195">
        <v>2</v>
      </c>
      <c r="H195" s="3">
        <v>9440</v>
      </c>
      <c r="I195" t="s">
        <v>55</v>
      </c>
      <c r="J195" t="s">
        <v>42</v>
      </c>
      <c r="K195" s="3">
        <f t="shared" si="24"/>
        <v>18880</v>
      </c>
      <c r="L195" s="4">
        <f t="shared" si="25"/>
        <v>0.05</v>
      </c>
      <c r="M195" s="3">
        <f t="shared" si="26"/>
        <v>17936</v>
      </c>
      <c r="N195" t="e">
        <f t="shared" ca="1" si="27"/>
        <v>#NAME?</v>
      </c>
      <c r="O195" t="str">
        <f t="shared" si="28"/>
        <v>August</v>
      </c>
      <c r="P195">
        <f t="shared" si="29"/>
        <v>8</v>
      </c>
      <c r="Q195">
        <f t="shared" si="30"/>
        <v>2025</v>
      </c>
      <c r="R195" t="str">
        <f t="shared" si="31"/>
        <v>Q3</v>
      </c>
    </row>
    <row r="196" spans="1:18" x14ac:dyDescent="0.3">
      <c r="A196" t="s">
        <v>258</v>
      </c>
      <c r="B196" s="2">
        <v>45837</v>
      </c>
      <c r="C196" t="s">
        <v>40</v>
      </c>
      <c r="D196" t="s">
        <v>29</v>
      </c>
      <c r="E196" t="s">
        <v>79</v>
      </c>
      <c r="F196" t="s">
        <v>64</v>
      </c>
      <c r="G196">
        <v>1</v>
      </c>
      <c r="H196" s="3">
        <v>8620</v>
      </c>
      <c r="I196" t="s">
        <v>49</v>
      </c>
      <c r="J196" t="s">
        <v>323</v>
      </c>
      <c r="K196" s="3">
        <f t="shared" si="24"/>
        <v>8620</v>
      </c>
      <c r="L196" s="4">
        <f t="shared" si="25"/>
        <v>0.05</v>
      </c>
      <c r="M196" s="3">
        <f t="shared" si="26"/>
        <v>8189</v>
      </c>
      <c r="N196" t="e">
        <f t="shared" ca="1" si="27"/>
        <v>#NAME?</v>
      </c>
      <c r="O196" t="str">
        <f t="shared" si="28"/>
        <v>June</v>
      </c>
      <c r="P196">
        <f t="shared" si="29"/>
        <v>6</v>
      </c>
      <c r="Q196">
        <f t="shared" si="30"/>
        <v>2025</v>
      </c>
      <c r="R196" t="str">
        <f t="shared" si="31"/>
        <v>Q2</v>
      </c>
    </row>
    <row r="197" spans="1:18" x14ac:dyDescent="0.3">
      <c r="A197" t="s">
        <v>259</v>
      </c>
      <c r="B197" s="2">
        <v>45770</v>
      </c>
      <c r="C197" t="s">
        <v>11</v>
      </c>
      <c r="D197" t="s">
        <v>57</v>
      </c>
      <c r="E197" t="s">
        <v>37</v>
      </c>
      <c r="F197" t="s">
        <v>14</v>
      </c>
      <c r="G197">
        <v>5</v>
      </c>
      <c r="H197" s="3">
        <v>52360</v>
      </c>
      <c r="I197" t="s">
        <v>38</v>
      </c>
      <c r="J197" t="s">
        <v>31</v>
      </c>
      <c r="K197" s="3">
        <f t="shared" si="24"/>
        <v>261800</v>
      </c>
      <c r="L197" s="4">
        <f t="shared" si="25"/>
        <v>0.1</v>
      </c>
      <c r="M197" s="3">
        <f t="shared" si="26"/>
        <v>235620</v>
      </c>
      <c r="N197" t="e">
        <f t="shared" ca="1" si="27"/>
        <v>#NAME?</v>
      </c>
      <c r="O197" t="str">
        <f t="shared" si="28"/>
        <v>April</v>
      </c>
      <c r="P197">
        <f t="shared" si="29"/>
        <v>4</v>
      </c>
      <c r="Q197">
        <f t="shared" si="30"/>
        <v>2025</v>
      </c>
      <c r="R197" t="str">
        <f t="shared" si="31"/>
        <v>Q2</v>
      </c>
    </row>
    <row r="198" spans="1:18" x14ac:dyDescent="0.3">
      <c r="A198" t="s">
        <v>260</v>
      </c>
      <c r="B198" s="2">
        <v>45975</v>
      </c>
      <c r="C198" t="s">
        <v>40</v>
      </c>
      <c r="D198" t="s">
        <v>12</v>
      </c>
      <c r="E198" t="s">
        <v>45</v>
      </c>
      <c r="F198" t="s">
        <v>46</v>
      </c>
      <c r="G198">
        <v>1</v>
      </c>
      <c r="H198" s="3">
        <v>12630</v>
      </c>
      <c r="I198" t="s">
        <v>141</v>
      </c>
      <c r="J198" t="s">
        <v>16</v>
      </c>
      <c r="K198" s="3">
        <f t="shared" si="24"/>
        <v>12630</v>
      </c>
      <c r="L198" s="4">
        <f t="shared" si="25"/>
        <v>0.05</v>
      </c>
      <c r="M198" s="3">
        <f t="shared" si="26"/>
        <v>11998.5</v>
      </c>
      <c r="N198" t="e">
        <f t="shared" ca="1" si="27"/>
        <v>#NAME?</v>
      </c>
      <c r="O198" t="str">
        <f t="shared" si="28"/>
        <v>November</v>
      </c>
      <c r="P198">
        <f t="shared" si="29"/>
        <v>11</v>
      </c>
      <c r="Q198">
        <f t="shared" si="30"/>
        <v>2025</v>
      </c>
      <c r="R198" t="str">
        <f t="shared" si="31"/>
        <v>Q4</v>
      </c>
    </row>
    <row r="199" spans="1:18" x14ac:dyDescent="0.3">
      <c r="A199" t="s">
        <v>261</v>
      </c>
      <c r="B199" s="2">
        <v>45709</v>
      </c>
      <c r="C199" t="s">
        <v>11</v>
      </c>
      <c r="D199" t="s">
        <v>36</v>
      </c>
      <c r="E199" t="s">
        <v>30</v>
      </c>
      <c r="F199" t="s">
        <v>25</v>
      </c>
      <c r="G199">
        <v>3</v>
      </c>
      <c r="H199" s="3">
        <v>2720</v>
      </c>
      <c r="I199" t="s">
        <v>15</v>
      </c>
      <c r="J199" t="s">
        <v>31</v>
      </c>
      <c r="K199" s="3">
        <f t="shared" si="24"/>
        <v>8160</v>
      </c>
      <c r="L199" s="4">
        <f t="shared" si="25"/>
        <v>0.05</v>
      </c>
      <c r="M199" s="3">
        <f t="shared" si="26"/>
        <v>7752</v>
      </c>
      <c r="N199" t="e">
        <f t="shared" ca="1" si="27"/>
        <v>#NAME?</v>
      </c>
      <c r="O199" t="str">
        <f t="shared" si="28"/>
        <v>February</v>
      </c>
      <c r="P199">
        <f t="shared" si="29"/>
        <v>2</v>
      </c>
      <c r="Q199">
        <f t="shared" si="30"/>
        <v>2025</v>
      </c>
      <c r="R199" t="str">
        <f t="shared" si="31"/>
        <v>Q1</v>
      </c>
    </row>
    <row r="200" spans="1:18" x14ac:dyDescent="0.3">
      <c r="A200" t="s">
        <v>262</v>
      </c>
      <c r="B200" s="2">
        <v>45925</v>
      </c>
      <c r="C200" t="s">
        <v>40</v>
      </c>
      <c r="D200" t="s">
        <v>12</v>
      </c>
      <c r="E200" t="s">
        <v>37</v>
      </c>
      <c r="F200" t="s">
        <v>14</v>
      </c>
      <c r="G200">
        <v>3</v>
      </c>
      <c r="H200" s="3">
        <v>57290</v>
      </c>
      <c r="I200" t="s">
        <v>15</v>
      </c>
      <c r="J200" t="s">
        <v>42</v>
      </c>
      <c r="K200" s="3">
        <f t="shared" si="24"/>
        <v>171870</v>
      </c>
      <c r="L200" s="4">
        <f t="shared" si="25"/>
        <v>0.1</v>
      </c>
      <c r="M200" s="3">
        <f t="shared" si="26"/>
        <v>154683</v>
      </c>
      <c r="N200" t="e">
        <f t="shared" ca="1" si="27"/>
        <v>#NAME?</v>
      </c>
      <c r="O200" t="str">
        <f t="shared" si="28"/>
        <v>September</v>
      </c>
      <c r="P200">
        <f t="shared" si="29"/>
        <v>9</v>
      </c>
      <c r="Q200">
        <f t="shared" si="30"/>
        <v>2025</v>
      </c>
      <c r="R200" t="str">
        <f t="shared" si="31"/>
        <v>Q3</v>
      </c>
    </row>
    <row r="201" spans="1:18" x14ac:dyDescent="0.3">
      <c r="A201" t="s">
        <v>263</v>
      </c>
      <c r="B201" s="2">
        <v>45952</v>
      </c>
      <c r="C201" t="s">
        <v>11</v>
      </c>
      <c r="D201" t="s">
        <v>57</v>
      </c>
      <c r="E201" t="s">
        <v>24</v>
      </c>
      <c r="F201" t="s">
        <v>25</v>
      </c>
      <c r="G201">
        <v>1</v>
      </c>
      <c r="H201" s="3">
        <v>820</v>
      </c>
      <c r="I201" t="s">
        <v>94</v>
      </c>
      <c r="J201" t="s">
        <v>323</v>
      </c>
      <c r="K201" s="3">
        <f t="shared" si="24"/>
        <v>820</v>
      </c>
      <c r="L201" s="4">
        <f t="shared" si="25"/>
        <v>0.05</v>
      </c>
      <c r="M201" s="3">
        <f t="shared" si="26"/>
        <v>779</v>
      </c>
      <c r="N201" t="e">
        <f t="shared" ca="1" si="27"/>
        <v>#NAME?</v>
      </c>
      <c r="O201" t="str">
        <f t="shared" si="28"/>
        <v>October</v>
      </c>
      <c r="P201">
        <f t="shared" si="29"/>
        <v>10</v>
      </c>
      <c r="Q201">
        <f t="shared" si="30"/>
        <v>2025</v>
      </c>
      <c r="R201" t="str">
        <f t="shared" si="31"/>
        <v>Q4</v>
      </c>
    </row>
    <row r="202" spans="1:18" x14ac:dyDescent="0.3">
      <c r="A202" t="s">
        <v>264</v>
      </c>
      <c r="B202" s="2">
        <v>45770</v>
      </c>
      <c r="C202" t="s">
        <v>28</v>
      </c>
      <c r="D202" t="s">
        <v>18</v>
      </c>
      <c r="E202" t="s">
        <v>45</v>
      </c>
      <c r="F202" t="s">
        <v>46</v>
      </c>
      <c r="G202">
        <v>1</v>
      </c>
      <c r="H202" s="3">
        <v>11410</v>
      </c>
      <c r="I202" t="s">
        <v>53</v>
      </c>
      <c r="J202" t="s">
        <v>42</v>
      </c>
      <c r="K202" s="3">
        <f t="shared" si="24"/>
        <v>11410</v>
      </c>
      <c r="L202" s="4">
        <f t="shared" si="25"/>
        <v>0.05</v>
      </c>
      <c r="M202" s="3">
        <f t="shared" si="26"/>
        <v>10839.5</v>
      </c>
      <c r="N202" t="e">
        <f t="shared" ca="1" si="27"/>
        <v>#NAME?</v>
      </c>
      <c r="O202" t="str">
        <f t="shared" si="28"/>
        <v>April</v>
      </c>
      <c r="P202">
        <f t="shared" si="29"/>
        <v>4</v>
      </c>
      <c r="Q202">
        <f t="shared" si="30"/>
        <v>2025</v>
      </c>
      <c r="R202" t="str">
        <f t="shared" si="31"/>
        <v>Q2</v>
      </c>
    </row>
    <row r="203" spans="1:18" x14ac:dyDescent="0.3">
      <c r="A203" t="s">
        <v>266</v>
      </c>
      <c r="B203" s="2">
        <v>45758</v>
      </c>
      <c r="C203" t="s">
        <v>44</v>
      </c>
      <c r="D203" t="s">
        <v>12</v>
      </c>
      <c r="E203" t="s">
        <v>13</v>
      </c>
      <c r="F203" t="s">
        <v>14</v>
      </c>
      <c r="G203">
        <v>2</v>
      </c>
      <c r="H203" s="3">
        <v>17730</v>
      </c>
      <c r="I203" t="s">
        <v>108</v>
      </c>
      <c r="J203" t="s">
        <v>16</v>
      </c>
      <c r="K203" s="3">
        <f t="shared" si="24"/>
        <v>35460</v>
      </c>
      <c r="L203" s="4">
        <f t="shared" si="25"/>
        <v>0.05</v>
      </c>
      <c r="M203" s="3">
        <f t="shared" si="26"/>
        <v>33687</v>
      </c>
      <c r="N203" t="e">
        <f t="shared" ca="1" si="27"/>
        <v>#NAME?</v>
      </c>
      <c r="O203" t="str">
        <f t="shared" si="28"/>
        <v>April</v>
      </c>
      <c r="P203">
        <f t="shared" si="29"/>
        <v>4</v>
      </c>
      <c r="Q203">
        <f t="shared" si="30"/>
        <v>2025</v>
      </c>
      <c r="R203" t="str">
        <f t="shared" si="31"/>
        <v>Q2</v>
      </c>
    </row>
    <row r="204" spans="1:18" x14ac:dyDescent="0.3">
      <c r="A204" t="s">
        <v>267</v>
      </c>
      <c r="B204" s="2">
        <v>45770</v>
      </c>
      <c r="C204" t="s">
        <v>28</v>
      </c>
      <c r="D204" t="s">
        <v>23</v>
      </c>
      <c r="E204" t="s">
        <v>79</v>
      </c>
      <c r="F204" t="s">
        <v>64</v>
      </c>
      <c r="G204">
        <v>2</v>
      </c>
      <c r="H204" s="3">
        <v>9610</v>
      </c>
      <c r="I204" t="s">
        <v>34</v>
      </c>
      <c r="J204" t="s">
        <v>42</v>
      </c>
      <c r="K204" s="3">
        <f t="shared" si="24"/>
        <v>19220</v>
      </c>
      <c r="L204" s="4">
        <f t="shared" si="25"/>
        <v>0.05</v>
      </c>
      <c r="M204" s="3">
        <f t="shared" si="26"/>
        <v>18259</v>
      </c>
      <c r="N204" t="e">
        <f t="shared" ca="1" si="27"/>
        <v>#NAME?</v>
      </c>
      <c r="O204" t="str">
        <f t="shared" si="28"/>
        <v>April</v>
      </c>
      <c r="P204">
        <f t="shared" si="29"/>
        <v>4</v>
      </c>
      <c r="Q204">
        <f t="shared" si="30"/>
        <v>2025</v>
      </c>
      <c r="R204" t="str">
        <f t="shared" si="31"/>
        <v>Q2</v>
      </c>
    </row>
    <row r="205" spans="1:18" x14ac:dyDescent="0.3">
      <c r="A205" t="s">
        <v>268</v>
      </c>
      <c r="B205" s="2">
        <v>45738</v>
      </c>
      <c r="C205" t="s">
        <v>11</v>
      </c>
      <c r="D205" t="s">
        <v>36</v>
      </c>
      <c r="E205" t="s">
        <v>33</v>
      </c>
      <c r="F205" t="s">
        <v>25</v>
      </c>
      <c r="G205">
        <v>1</v>
      </c>
      <c r="H205" s="3">
        <v>1640</v>
      </c>
      <c r="I205" t="s">
        <v>77</v>
      </c>
      <c r="J205" t="s">
        <v>31</v>
      </c>
      <c r="K205" s="3">
        <f t="shared" si="24"/>
        <v>1640</v>
      </c>
      <c r="L205" s="4">
        <f t="shared" si="25"/>
        <v>0.05</v>
      </c>
      <c r="M205" s="3">
        <f t="shared" si="26"/>
        <v>1558</v>
      </c>
      <c r="N205" t="e">
        <f t="shared" ca="1" si="27"/>
        <v>#NAME?</v>
      </c>
      <c r="O205" t="str">
        <f t="shared" si="28"/>
        <v>March</v>
      </c>
      <c r="P205">
        <f t="shared" si="29"/>
        <v>3</v>
      </c>
      <c r="Q205">
        <f t="shared" si="30"/>
        <v>2025</v>
      </c>
      <c r="R205" t="str">
        <f t="shared" si="31"/>
        <v>Q1</v>
      </c>
    </row>
    <row r="206" spans="1:18" x14ac:dyDescent="0.3">
      <c r="A206" t="s">
        <v>269</v>
      </c>
      <c r="B206" s="2">
        <v>45844</v>
      </c>
      <c r="C206" t="s">
        <v>44</v>
      </c>
      <c r="D206" t="s">
        <v>57</v>
      </c>
      <c r="E206" t="s">
        <v>30</v>
      </c>
      <c r="F206" t="s">
        <v>25</v>
      </c>
      <c r="G206">
        <v>2</v>
      </c>
      <c r="H206" s="3">
        <v>2450</v>
      </c>
      <c r="I206" t="s">
        <v>38</v>
      </c>
      <c r="J206" t="s">
        <v>16</v>
      </c>
      <c r="K206" s="3">
        <f t="shared" si="24"/>
        <v>4900</v>
      </c>
      <c r="L206" s="4">
        <f t="shared" si="25"/>
        <v>0.05</v>
      </c>
      <c r="M206" s="3">
        <f t="shared" si="26"/>
        <v>4655</v>
      </c>
      <c r="N206" t="e">
        <f t="shared" ca="1" si="27"/>
        <v>#NAME?</v>
      </c>
      <c r="O206" t="str">
        <f t="shared" si="28"/>
        <v>July</v>
      </c>
      <c r="P206">
        <f t="shared" si="29"/>
        <v>7</v>
      </c>
      <c r="Q206">
        <f t="shared" si="30"/>
        <v>2025</v>
      </c>
      <c r="R206" t="str">
        <f t="shared" si="31"/>
        <v>Q3</v>
      </c>
    </row>
    <row r="207" spans="1:18" x14ac:dyDescent="0.3">
      <c r="A207" t="s">
        <v>270</v>
      </c>
      <c r="B207" s="2">
        <v>45770</v>
      </c>
      <c r="C207" t="s">
        <v>44</v>
      </c>
      <c r="D207" t="s">
        <v>29</v>
      </c>
      <c r="E207" t="s">
        <v>37</v>
      </c>
      <c r="F207" t="s">
        <v>14</v>
      </c>
      <c r="G207">
        <v>3</v>
      </c>
      <c r="H207" s="3">
        <v>52030</v>
      </c>
      <c r="I207" t="s">
        <v>49</v>
      </c>
      <c r="J207" t="s">
        <v>323</v>
      </c>
      <c r="K207" s="3">
        <f t="shared" si="24"/>
        <v>156090</v>
      </c>
      <c r="L207" s="4">
        <f t="shared" si="25"/>
        <v>0.1</v>
      </c>
      <c r="M207" s="3">
        <f t="shared" si="26"/>
        <v>140481</v>
      </c>
      <c r="N207" t="e">
        <f t="shared" ca="1" si="27"/>
        <v>#NAME?</v>
      </c>
      <c r="O207" t="str">
        <f t="shared" si="28"/>
        <v>April</v>
      </c>
      <c r="P207">
        <f t="shared" si="29"/>
        <v>4</v>
      </c>
      <c r="Q207">
        <f t="shared" si="30"/>
        <v>2025</v>
      </c>
      <c r="R207" t="str">
        <f t="shared" si="31"/>
        <v>Q2</v>
      </c>
    </row>
    <row r="208" spans="1:18" x14ac:dyDescent="0.3">
      <c r="A208" t="s">
        <v>271</v>
      </c>
      <c r="B208" s="2">
        <v>45659</v>
      </c>
      <c r="C208" t="s">
        <v>11</v>
      </c>
      <c r="D208" t="s">
        <v>29</v>
      </c>
      <c r="E208" t="s">
        <v>63</v>
      </c>
      <c r="F208" t="s">
        <v>64</v>
      </c>
      <c r="G208">
        <v>1</v>
      </c>
      <c r="H208" s="3">
        <v>8050</v>
      </c>
      <c r="I208" t="s">
        <v>75</v>
      </c>
      <c r="J208" t="s">
        <v>31</v>
      </c>
      <c r="K208" s="3">
        <f t="shared" si="24"/>
        <v>8050</v>
      </c>
      <c r="L208" s="4">
        <f t="shared" si="25"/>
        <v>0.05</v>
      </c>
      <c r="M208" s="3">
        <f t="shared" si="26"/>
        <v>7647.5</v>
      </c>
      <c r="N208" t="e">
        <f t="shared" ca="1" si="27"/>
        <v>#NAME?</v>
      </c>
      <c r="O208" t="str">
        <f t="shared" si="28"/>
        <v>January</v>
      </c>
      <c r="P208">
        <f t="shared" si="29"/>
        <v>1</v>
      </c>
      <c r="Q208">
        <f t="shared" si="30"/>
        <v>2025</v>
      </c>
      <c r="R208" t="str">
        <f t="shared" si="31"/>
        <v>Q1</v>
      </c>
    </row>
    <row r="209" spans="1:18" x14ac:dyDescent="0.3">
      <c r="A209" t="s">
        <v>272</v>
      </c>
      <c r="B209" s="2">
        <v>45787</v>
      </c>
      <c r="C209" t="s">
        <v>11</v>
      </c>
      <c r="D209" t="s">
        <v>29</v>
      </c>
      <c r="E209" t="s">
        <v>41</v>
      </c>
      <c r="F209" t="s">
        <v>14</v>
      </c>
      <c r="G209">
        <v>1</v>
      </c>
      <c r="H209" s="3">
        <v>25710</v>
      </c>
      <c r="I209" t="s">
        <v>58</v>
      </c>
      <c r="J209" t="s">
        <v>42</v>
      </c>
      <c r="K209" s="3">
        <f t="shared" si="24"/>
        <v>25710</v>
      </c>
      <c r="L209" s="4">
        <f t="shared" si="25"/>
        <v>0.05</v>
      </c>
      <c r="M209" s="3">
        <f t="shared" si="26"/>
        <v>24424.5</v>
      </c>
      <c r="N209" t="e">
        <f t="shared" ca="1" si="27"/>
        <v>#NAME?</v>
      </c>
      <c r="O209" t="str">
        <f t="shared" si="28"/>
        <v>May</v>
      </c>
      <c r="P209">
        <f t="shared" si="29"/>
        <v>5</v>
      </c>
      <c r="Q209">
        <f t="shared" si="30"/>
        <v>2025</v>
      </c>
      <c r="R209" t="str">
        <f t="shared" si="31"/>
        <v>Q2</v>
      </c>
    </row>
    <row r="210" spans="1:18" x14ac:dyDescent="0.3">
      <c r="A210" t="s">
        <v>273</v>
      </c>
      <c r="B210" s="2">
        <v>45877</v>
      </c>
      <c r="C210" t="s">
        <v>11</v>
      </c>
      <c r="D210" t="s">
        <v>36</v>
      </c>
      <c r="E210" t="s">
        <v>24</v>
      </c>
      <c r="F210" t="s">
        <v>25</v>
      </c>
      <c r="G210">
        <v>4</v>
      </c>
      <c r="H210" s="3">
        <v>820</v>
      </c>
      <c r="I210" t="s">
        <v>38</v>
      </c>
      <c r="J210" t="s">
        <v>31</v>
      </c>
      <c r="K210" s="3">
        <f t="shared" si="24"/>
        <v>3280</v>
      </c>
      <c r="L210" s="4">
        <f t="shared" si="25"/>
        <v>0.05</v>
      </c>
      <c r="M210" s="3">
        <f t="shared" si="26"/>
        <v>3116</v>
      </c>
      <c r="N210" t="e">
        <f t="shared" ca="1" si="27"/>
        <v>#NAME?</v>
      </c>
      <c r="O210" t="str">
        <f t="shared" si="28"/>
        <v>August</v>
      </c>
      <c r="P210">
        <f t="shared" si="29"/>
        <v>8</v>
      </c>
      <c r="Q210">
        <f t="shared" si="30"/>
        <v>2025</v>
      </c>
      <c r="R210" t="str">
        <f t="shared" si="31"/>
        <v>Q3</v>
      </c>
    </row>
    <row r="211" spans="1:18" x14ac:dyDescent="0.3">
      <c r="A211" t="s">
        <v>274</v>
      </c>
      <c r="B211" s="2">
        <v>45711</v>
      </c>
      <c r="C211" t="s">
        <v>11</v>
      </c>
      <c r="D211" t="s">
        <v>36</v>
      </c>
      <c r="E211" t="s">
        <v>41</v>
      </c>
      <c r="F211" t="s">
        <v>14</v>
      </c>
      <c r="G211">
        <v>4</v>
      </c>
      <c r="H211" s="3">
        <v>25900</v>
      </c>
      <c r="I211" t="s">
        <v>55</v>
      </c>
      <c r="J211" t="s">
        <v>323</v>
      </c>
      <c r="K211" s="3">
        <f t="shared" si="24"/>
        <v>103600</v>
      </c>
      <c r="L211" s="4">
        <f t="shared" si="25"/>
        <v>0.1</v>
      </c>
      <c r="M211" s="3">
        <f t="shared" si="26"/>
        <v>93240</v>
      </c>
      <c r="N211" t="e">
        <f t="shared" ca="1" si="27"/>
        <v>#NAME?</v>
      </c>
      <c r="O211" t="str">
        <f t="shared" si="28"/>
        <v>February</v>
      </c>
      <c r="P211">
        <f t="shared" si="29"/>
        <v>2</v>
      </c>
      <c r="Q211">
        <f t="shared" si="30"/>
        <v>2025</v>
      </c>
      <c r="R211" t="str">
        <f t="shared" si="31"/>
        <v>Q1</v>
      </c>
    </row>
    <row r="212" spans="1:18" x14ac:dyDescent="0.3">
      <c r="A212" t="s">
        <v>275</v>
      </c>
      <c r="B212" s="2">
        <v>46000</v>
      </c>
      <c r="C212" t="s">
        <v>40</v>
      </c>
      <c r="D212" t="s">
        <v>23</v>
      </c>
      <c r="E212" t="s">
        <v>45</v>
      </c>
      <c r="F212" t="s">
        <v>46</v>
      </c>
      <c r="G212">
        <v>10</v>
      </c>
      <c r="H212" s="3">
        <v>11190</v>
      </c>
      <c r="I212" t="s">
        <v>141</v>
      </c>
      <c r="J212" t="s">
        <v>31</v>
      </c>
      <c r="K212" s="3">
        <f t="shared" si="24"/>
        <v>111900</v>
      </c>
      <c r="L212" s="4">
        <f t="shared" si="25"/>
        <v>0.1</v>
      </c>
      <c r="M212" s="3">
        <f t="shared" si="26"/>
        <v>100710</v>
      </c>
      <c r="N212" t="e">
        <f t="shared" ca="1" si="27"/>
        <v>#NAME?</v>
      </c>
      <c r="O212" t="str">
        <f t="shared" si="28"/>
        <v>December</v>
      </c>
      <c r="P212">
        <f t="shared" si="29"/>
        <v>12</v>
      </c>
      <c r="Q212">
        <f t="shared" si="30"/>
        <v>2025</v>
      </c>
      <c r="R212" t="str">
        <f t="shared" si="31"/>
        <v>Q4</v>
      </c>
    </row>
    <row r="213" spans="1:18" x14ac:dyDescent="0.3">
      <c r="A213" t="s">
        <v>276</v>
      </c>
      <c r="B213" s="2">
        <v>45881</v>
      </c>
      <c r="C213" t="s">
        <v>40</v>
      </c>
      <c r="D213" t="s">
        <v>23</v>
      </c>
      <c r="E213" t="s">
        <v>63</v>
      </c>
      <c r="F213" t="s">
        <v>64</v>
      </c>
      <c r="G213">
        <v>1</v>
      </c>
      <c r="H213" s="3">
        <v>6770</v>
      </c>
      <c r="I213" t="s">
        <v>15</v>
      </c>
      <c r="J213" t="s">
        <v>42</v>
      </c>
      <c r="K213" s="3">
        <f t="shared" si="24"/>
        <v>6770</v>
      </c>
      <c r="L213" s="4">
        <f t="shared" si="25"/>
        <v>0.05</v>
      </c>
      <c r="M213" s="3">
        <f t="shared" si="26"/>
        <v>6431.5</v>
      </c>
      <c r="N213" t="e">
        <f t="shared" ca="1" si="27"/>
        <v>#NAME?</v>
      </c>
      <c r="O213" t="str">
        <f t="shared" si="28"/>
        <v>August</v>
      </c>
      <c r="P213">
        <f t="shared" si="29"/>
        <v>8</v>
      </c>
      <c r="Q213">
        <f t="shared" si="30"/>
        <v>2025</v>
      </c>
      <c r="R213" t="str">
        <f t="shared" si="31"/>
        <v>Q3</v>
      </c>
    </row>
    <row r="214" spans="1:18" x14ac:dyDescent="0.3">
      <c r="A214" t="s">
        <v>277</v>
      </c>
      <c r="B214" s="2">
        <v>45882</v>
      </c>
      <c r="C214" t="s">
        <v>40</v>
      </c>
      <c r="D214" t="s">
        <v>12</v>
      </c>
      <c r="E214" t="s">
        <v>45</v>
      </c>
      <c r="F214" t="s">
        <v>46</v>
      </c>
      <c r="G214">
        <v>10</v>
      </c>
      <c r="H214" s="3">
        <v>12860</v>
      </c>
      <c r="I214" t="s">
        <v>75</v>
      </c>
      <c r="J214" t="s">
        <v>16</v>
      </c>
      <c r="K214" s="3">
        <f t="shared" si="24"/>
        <v>128600</v>
      </c>
      <c r="L214" s="4">
        <f t="shared" si="25"/>
        <v>0.1</v>
      </c>
      <c r="M214" s="3">
        <f t="shared" si="26"/>
        <v>115740</v>
      </c>
      <c r="N214" t="e">
        <f t="shared" ca="1" si="27"/>
        <v>#NAME?</v>
      </c>
      <c r="O214" t="str">
        <f t="shared" si="28"/>
        <v>August</v>
      </c>
      <c r="P214">
        <f t="shared" si="29"/>
        <v>8</v>
      </c>
      <c r="Q214">
        <f t="shared" si="30"/>
        <v>2025</v>
      </c>
      <c r="R214" t="str">
        <f t="shared" si="31"/>
        <v>Q3</v>
      </c>
    </row>
    <row r="215" spans="1:18" x14ac:dyDescent="0.3">
      <c r="A215" t="s">
        <v>278</v>
      </c>
      <c r="B215" s="2">
        <v>45783</v>
      </c>
      <c r="C215" t="s">
        <v>44</v>
      </c>
      <c r="D215" t="s">
        <v>36</v>
      </c>
      <c r="E215" t="s">
        <v>45</v>
      </c>
      <c r="F215" t="s">
        <v>46</v>
      </c>
      <c r="G215">
        <v>1</v>
      </c>
      <c r="H215" s="3">
        <v>11050</v>
      </c>
      <c r="I215" t="s">
        <v>58</v>
      </c>
      <c r="J215" t="s">
        <v>31</v>
      </c>
      <c r="K215" s="3">
        <f t="shared" si="24"/>
        <v>11050</v>
      </c>
      <c r="L215" s="4">
        <f t="shared" si="25"/>
        <v>0.05</v>
      </c>
      <c r="M215" s="3">
        <f t="shared" si="26"/>
        <v>10497.5</v>
      </c>
      <c r="N215" t="e">
        <f t="shared" ca="1" si="27"/>
        <v>#NAME?</v>
      </c>
      <c r="O215" t="str">
        <f t="shared" si="28"/>
        <v>May</v>
      </c>
      <c r="P215">
        <f t="shared" si="29"/>
        <v>5</v>
      </c>
      <c r="Q215">
        <f t="shared" si="30"/>
        <v>2025</v>
      </c>
      <c r="R215" t="str">
        <f t="shared" si="31"/>
        <v>Q2</v>
      </c>
    </row>
    <row r="216" spans="1:18" x14ac:dyDescent="0.3">
      <c r="A216" t="s">
        <v>279</v>
      </c>
      <c r="B216" s="2">
        <v>45787</v>
      </c>
      <c r="C216" t="s">
        <v>44</v>
      </c>
      <c r="D216" t="s">
        <v>18</v>
      </c>
      <c r="E216" t="s">
        <v>45</v>
      </c>
      <c r="F216" t="s">
        <v>46</v>
      </c>
      <c r="G216">
        <v>3</v>
      </c>
      <c r="H216" s="3">
        <v>11300</v>
      </c>
      <c r="I216" t="s">
        <v>75</v>
      </c>
      <c r="J216" t="s">
        <v>31</v>
      </c>
      <c r="K216" s="3">
        <f t="shared" si="24"/>
        <v>33900</v>
      </c>
      <c r="L216" s="4">
        <f t="shared" si="25"/>
        <v>0.05</v>
      </c>
      <c r="M216" s="3">
        <f t="shared" si="26"/>
        <v>32205</v>
      </c>
      <c r="N216" t="e">
        <f t="shared" ca="1" si="27"/>
        <v>#NAME?</v>
      </c>
      <c r="O216" t="str">
        <f t="shared" si="28"/>
        <v>May</v>
      </c>
      <c r="P216">
        <f t="shared" si="29"/>
        <v>5</v>
      </c>
      <c r="Q216">
        <f t="shared" si="30"/>
        <v>2025</v>
      </c>
      <c r="R216" t="str">
        <f t="shared" si="31"/>
        <v>Q2</v>
      </c>
    </row>
    <row r="217" spans="1:18" x14ac:dyDescent="0.3">
      <c r="A217" t="s">
        <v>280</v>
      </c>
      <c r="B217" s="2">
        <v>45710</v>
      </c>
      <c r="C217" t="s">
        <v>44</v>
      </c>
      <c r="D217" t="s">
        <v>12</v>
      </c>
      <c r="E217" t="s">
        <v>13</v>
      </c>
      <c r="F217" t="s">
        <v>14</v>
      </c>
      <c r="G217">
        <v>1</v>
      </c>
      <c r="H217" s="3">
        <v>18060</v>
      </c>
      <c r="I217" t="s">
        <v>69</v>
      </c>
      <c r="J217" t="s">
        <v>42</v>
      </c>
      <c r="K217" s="3">
        <f t="shared" si="24"/>
        <v>18060</v>
      </c>
      <c r="L217" s="4">
        <f t="shared" si="25"/>
        <v>0.05</v>
      </c>
      <c r="M217" s="3">
        <f t="shared" si="26"/>
        <v>17157</v>
      </c>
      <c r="N217" t="e">
        <f t="shared" ca="1" si="27"/>
        <v>#NAME?</v>
      </c>
      <c r="O217" t="str">
        <f t="shared" si="28"/>
        <v>February</v>
      </c>
      <c r="P217">
        <f t="shared" si="29"/>
        <v>2</v>
      </c>
      <c r="Q217">
        <f t="shared" si="30"/>
        <v>2025</v>
      </c>
      <c r="R217" t="str">
        <f t="shared" si="31"/>
        <v>Q1</v>
      </c>
    </row>
    <row r="218" spans="1:18" x14ac:dyDescent="0.3">
      <c r="A218" t="s">
        <v>281</v>
      </c>
      <c r="B218" s="2">
        <v>45829</v>
      </c>
      <c r="C218" t="s">
        <v>28</v>
      </c>
      <c r="D218" t="s">
        <v>18</v>
      </c>
      <c r="E218" t="s">
        <v>37</v>
      </c>
      <c r="F218" t="s">
        <v>14</v>
      </c>
      <c r="G218">
        <v>2</v>
      </c>
      <c r="H218" s="3">
        <v>53440</v>
      </c>
      <c r="I218" t="s">
        <v>51</v>
      </c>
      <c r="J218" t="s">
        <v>16</v>
      </c>
      <c r="K218" s="3">
        <f t="shared" si="24"/>
        <v>106880</v>
      </c>
      <c r="L218" s="4">
        <f t="shared" si="25"/>
        <v>0.1</v>
      </c>
      <c r="M218" s="3">
        <f t="shared" si="26"/>
        <v>96192</v>
      </c>
      <c r="N218" t="e">
        <f t="shared" ca="1" si="27"/>
        <v>#NAME?</v>
      </c>
      <c r="O218" t="str">
        <f t="shared" si="28"/>
        <v>June</v>
      </c>
      <c r="P218">
        <f t="shared" si="29"/>
        <v>6</v>
      </c>
      <c r="Q218">
        <f t="shared" si="30"/>
        <v>2025</v>
      </c>
      <c r="R218" t="str">
        <f t="shared" si="31"/>
        <v>Q2</v>
      </c>
    </row>
    <row r="219" spans="1:18" x14ac:dyDescent="0.3">
      <c r="A219" t="s">
        <v>282</v>
      </c>
      <c r="B219" s="2">
        <v>45875</v>
      </c>
      <c r="C219" t="s">
        <v>40</v>
      </c>
      <c r="D219" t="s">
        <v>36</v>
      </c>
      <c r="E219" t="s">
        <v>19</v>
      </c>
      <c r="F219" t="s">
        <v>14</v>
      </c>
      <c r="G219">
        <v>1</v>
      </c>
      <c r="H219" s="3">
        <v>4790</v>
      </c>
      <c r="I219" t="s">
        <v>49</v>
      </c>
      <c r="J219" t="s">
        <v>31</v>
      </c>
      <c r="K219" s="3">
        <f t="shared" si="24"/>
        <v>4790</v>
      </c>
      <c r="L219" s="4">
        <f t="shared" si="25"/>
        <v>0.05</v>
      </c>
      <c r="M219" s="3">
        <f t="shared" si="26"/>
        <v>4550.5</v>
      </c>
      <c r="N219" t="e">
        <f t="shared" ca="1" si="27"/>
        <v>#NAME?</v>
      </c>
      <c r="O219" t="str">
        <f t="shared" si="28"/>
        <v>August</v>
      </c>
      <c r="P219">
        <f t="shared" si="29"/>
        <v>8</v>
      </c>
      <c r="Q219">
        <f t="shared" si="30"/>
        <v>2025</v>
      </c>
      <c r="R219" t="str">
        <f t="shared" si="31"/>
        <v>Q3</v>
      </c>
    </row>
    <row r="220" spans="1:18" x14ac:dyDescent="0.3">
      <c r="A220" t="s">
        <v>283</v>
      </c>
      <c r="B220" s="2">
        <v>45817</v>
      </c>
      <c r="C220" t="s">
        <v>44</v>
      </c>
      <c r="D220" t="s">
        <v>12</v>
      </c>
      <c r="E220" t="s">
        <v>33</v>
      </c>
      <c r="F220" t="s">
        <v>25</v>
      </c>
      <c r="G220">
        <v>3</v>
      </c>
      <c r="H220" s="3">
        <v>1530</v>
      </c>
      <c r="I220" t="s">
        <v>15</v>
      </c>
      <c r="J220" t="s">
        <v>31</v>
      </c>
      <c r="K220" s="3">
        <f t="shared" si="24"/>
        <v>4590</v>
      </c>
      <c r="L220" s="4">
        <f t="shared" si="25"/>
        <v>0.05</v>
      </c>
      <c r="M220" s="3">
        <f t="shared" si="26"/>
        <v>4360.5</v>
      </c>
      <c r="N220" t="e">
        <f t="shared" ca="1" si="27"/>
        <v>#NAME?</v>
      </c>
      <c r="O220" t="str">
        <f t="shared" si="28"/>
        <v>June</v>
      </c>
      <c r="P220">
        <f t="shared" si="29"/>
        <v>6</v>
      </c>
      <c r="Q220">
        <f t="shared" si="30"/>
        <v>2025</v>
      </c>
      <c r="R220" t="str">
        <f t="shared" si="31"/>
        <v>Q2</v>
      </c>
    </row>
    <row r="221" spans="1:18" x14ac:dyDescent="0.3">
      <c r="A221" t="s">
        <v>284</v>
      </c>
      <c r="B221" s="2">
        <v>45855</v>
      </c>
      <c r="C221" t="s">
        <v>40</v>
      </c>
      <c r="D221" t="s">
        <v>36</v>
      </c>
      <c r="E221" t="s">
        <v>63</v>
      </c>
      <c r="F221" t="s">
        <v>64</v>
      </c>
      <c r="G221">
        <v>5</v>
      </c>
      <c r="H221" s="3">
        <v>7820</v>
      </c>
      <c r="I221" t="s">
        <v>77</v>
      </c>
      <c r="J221" t="s">
        <v>16</v>
      </c>
      <c r="K221" s="3">
        <f t="shared" si="24"/>
        <v>39100</v>
      </c>
      <c r="L221" s="4">
        <f t="shared" si="25"/>
        <v>0.05</v>
      </c>
      <c r="M221" s="3">
        <f t="shared" si="26"/>
        <v>37145</v>
      </c>
      <c r="N221" t="e">
        <f t="shared" ca="1" si="27"/>
        <v>#NAME?</v>
      </c>
      <c r="O221" t="str">
        <f t="shared" si="28"/>
        <v>July</v>
      </c>
      <c r="P221">
        <f t="shared" si="29"/>
        <v>7</v>
      </c>
      <c r="Q221">
        <f t="shared" si="30"/>
        <v>2025</v>
      </c>
      <c r="R221" t="str">
        <f t="shared" si="31"/>
        <v>Q3</v>
      </c>
    </row>
    <row r="222" spans="1:18" x14ac:dyDescent="0.3">
      <c r="A222" t="s">
        <v>285</v>
      </c>
      <c r="B222" s="2">
        <v>45904</v>
      </c>
      <c r="C222" t="s">
        <v>40</v>
      </c>
      <c r="D222" t="s">
        <v>18</v>
      </c>
      <c r="E222" t="s">
        <v>79</v>
      </c>
      <c r="F222" t="s">
        <v>64</v>
      </c>
      <c r="G222">
        <v>2</v>
      </c>
      <c r="H222" s="3">
        <v>9100</v>
      </c>
      <c r="I222" t="s">
        <v>38</v>
      </c>
      <c r="J222" t="s">
        <v>16</v>
      </c>
      <c r="K222" s="3">
        <f t="shared" si="24"/>
        <v>18200</v>
      </c>
      <c r="L222" s="4">
        <f t="shared" si="25"/>
        <v>0.05</v>
      </c>
      <c r="M222" s="3">
        <f t="shared" si="26"/>
        <v>17290</v>
      </c>
      <c r="N222" t="e">
        <f t="shared" ca="1" si="27"/>
        <v>#NAME?</v>
      </c>
      <c r="O222" t="str">
        <f t="shared" si="28"/>
        <v>September</v>
      </c>
      <c r="P222">
        <f t="shared" si="29"/>
        <v>9</v>
      </c>
      <c r="Q222">
        <f t="shared" si="30"/>
        <v>2025</v>
      </c>
      <c r="R222" t="str">
        <f t="shared" si="31"/>
        <v>Q3</v>
      </c>
    </row>
    <row r="223" spans="1:18" x14ac:dyDescent="0.3">
      <c r="A223" t="s">
        <v>286</v>
      </c>
      <c r="B223" s="2">
        <v>45981</v>
      </c>
      <c r="C223" t="s">
        <v>28</v>
      </c>
      <c r="D223" t="s">
        <v>36</v>
      </c>
      <c r="E223" t="s">
        <v>41</v>
      </c>
      <c r="F223" t="s">
        <v>14</v>
      </c>
      <c r="G223">
        <v>1</v>
      </c>
      <c r="H223" s="3">
        <v>25540</v>
      </c>
      <c r="I223" t="s">
        <v>69</v>
      </c>
      <c r="J223" t="s">
        <v>323</v>
      </c>
      <c r="K223" s="3">
        <f t="shared" si="24"/>
        <v>25540</v>
      </c>
      <c r="L223" s="4">
        <f t="shared" si="25"/>
        <v>0.05</v>
      </c>
      <c r="M223" s="3">
        <f t="shared" si="26"/>
        <v>24263</v>
      </c>
      <c r="N223" t="e">
        <f t="shared" ca="1" si="27"/>
        <v>#NAME?</v>
      </c>
      <c r="O223" t="str">
        <f t="shared" si="28"/>
        <v>November</v>
      </c>
      <c r="P223">
        <f t="shared" si="29"/>
        <v>11</v>
      </c>
      <c r="Q223">
        <f t="shared" si="30"/>
        <v>2025</v>
      </c>
      <c r="R223" t="str">
        <f t="shared" si="31"/>
        <v>Q4</v>
      </c>
    </row>
    <row r="224" spans="1:18" x14ac:dyDescent="0.3">
      <c r="A224" t="s">
        <v>287</v>
      </c>
      <c r="B224" s="2">
        <v>45860</v>
      </c>
      <c r="C224" t="s">
        <v>11</v>
      </c>
      <c r="D224" t="s">
        <v>57</v>
      </c>
      <c r="E224" t="s">
        <v>33</v>
      </c>
      <c r="F224" t="s">
        <v>25</v>
      </c>
      <c r="G224">
        <v>1</v>
      </c>
      <c r="H224" s="3">
        <v>1640</v>
      </c>
      <c r="I224" t="s">
        <v>75</v>
      </c>
      <c r="J224" t="s">
        <v>323</v>
      </c>
      <c r="K224" s="3">
        <f t="shared" si="24"/>
        <v>1640</v>
      </c>
      <c r="L224" s="4">
        <f t="shared" si="25"/>
        <v>0.05</v>
      </c>
      <c r="M224" s="3">
        <f t="shared" si="26"/>
        <v>1558</v>
      </c>
      <c r="N224" t="e">
        <f t="shared" ca="1" si="27"/>
        <v>#NAME?</v>
      </c>
      <c r="O224" t="str">
        <f t="shared" si="28"/>
        <v>July</v>
      </c>
      <c r="P224">
        <f t="shared" si="29"/>
        <v>7</v>
      </c>
      <c r="Q224">
        <f t="shared" si="30"/>
        <v>2025</v>
      </c>
      <c r="R224" t="str">
        <f t="shared" si="31"/>
        <v>Q3</v>
      </c>
    </row>
    <row r="225" spans="1:18" x14ac:dyDescent="0.3">
      <c r="A225" t="s">
        <v>288</v>
      </c>
      <c r="B225" s="2">
        <v>45841</v>
      </c>
      <c r="C225" t="s">
        <v>28</v>
      </c>
      <c r="D225" t="s">
        <v>36</v>
      </c>
      <c r="E225" t="s">
        <v>79</v>
      </c>
      <c r="F225" t="s">
        <v>64</v>
      </c>
      <c r="G225">
        <v>2</v>
      </c>
      <c r="H225" s="3">
        <v>9290</v>
      </c>
      <c r="I225" t="s">
        <v>15</v>
      </c>
      <c r="J225" t="s">
        <v>42</v>
      </c>
      <c r="K225" s="3">
        <f t="shared" si="24"/>
        <v>18580</v>
      </c>
      <c r="L225" s="4">
        <f t="shared" si="25"/>
        <v>0.05</v>
      </c>
      <c r="M225" s="3">
        <f t="shared" si="26"/>
        <v>17651</v>
      </c>
      <c r="N225" t="e">
        <f t="shared" ca="1" si="27"/>
        <v>#NAME?</v>
      </c>
      <c r="O225" t="str">
        <f t="shared" si="28"/>
        <v>July</v>
      </c>
      <c r="P225">
        <f t="shared" si="29"/>
        <v>7</v>
      </c>
      <c r="Q225">
        <f t="shared" si="30"/>
        <v>2025</v>
      </c>
      <c r="R225" t="str">
        <f t="shared" si="31"/>
        <v>Q3</v>
      </c>
    </row>
    <row r="226" spans="1:18" x14ac:dyDescent="0.3">
      <c r="A226" t="s">
        <v>289</v>
      </c>
      <c r="B226" s="2">
        <v>45780</v>
      </c>
      <c r="C226" t="s">
        <v>11</v>
      </c>
      <c r="D226" t="s">
        <v>12</v>
      </c>
      <c r="E226" t="s">
        <v>13</v>
      </c>
      <c r="F226" t="s">
        <v>14</v>
      </c>
      <c r="G226">
        <v>1</v>
      </c>
      <c r="H226" s="3">
        <v>17020</v>
      </c>
      <c r="I226" t="s">
        <v>38</v>
      </c>
      <c r="J226" t="s">
        <v>31</v>
      </c>
      <c r="K226" s="3">
        <f t="shared" si="24"/>
        <v>17020</v>
      </c>
      <c r="L226" s="4">
        <f t="shared" si="25"/>
        <v>0.05</v>
      </c>
      <c r="M226" s="3">
        <f t="shared" si="26"/>
        <v>16169</v>
      </c>
      <c r="N226" t="e">
        <f t="shared" ca="1" si="27"/>
        <v>#NAME?</v>
      </c>
      <c r="O226" t="str">
        <f t="shared" si="28"/>
        <v>May</v>
      </c>
      <c r="P226">
        <f t="shared" si="29"/>
        <v>5</v>
      </c>
      <c r="Q226">
        <f t="shared" si="30"/>
        <v>2025</v>
      </c>
      <c r="R226" t="str">
        <f t="shared" si="31"/>
        <v>Q2</v>
      </c>
    </row>
    <row r="227" spans="1:18" x14ac:dyDescent="0.3">
      <c r="A227" t="s">
        <v>290</v>
      </c>
      <c r="B227" s="2">
        <v>45912</v>
      </c>
      <c r="C227" t="s">
        <v>44</v>
      </c>
      <c r="D227" t="s">
        <v>23</v>
      </c>
      <c r="E227" t="s">
        <v>19</v>
      </c>
      <c r="F227" t="s">
        <v>14</v>
      </c>
      <c r="G227">
        <v>1</v>
      </c>
      <c r="H227" s="3">
        <v>4660</v>
      </c>
      <c r="I227" t="s">
        <v>77</v>
      </c>
      <c r="J227" t="s">
        <v>323</v>
      </c>
      <c r="K227" s="3">
        <f t="shared" si="24"/>
        <v>4660</v>
      </c>
      <c r="L227" s="4">
        <f t="shared" si="25"/>
        <v>0.05</v>
      </c>
      <c r="M227" s="3">
        <f t="shared" si="26"/>
        <v>4427</v>
      </c>
      <c r="N227" t="e">
        <f t="shared" ca="1" si="27"/>
        <v>#NAME?</v>
      </c>
      <c r="O227" t="str">
        <f t="shared" si="28"/>
        <v>September</v>
      </c>
      <c r="P227">
        <f t="shared" si="29"/>
        <v>9</v>
      </c>
      <c r="Q227">
        <f t="shared" si="30"/>
        <v>2025</v>
      </c>
      <c r="R227" t="str">
        <f t="shared" si="31"/>
        <v>Q3</v>
      </c>
    </row>
    <row r="228" spans="1:18" x14ac:dyDescent="0.3">
      <c r="A228" t="s">
        <v>291</v>
      </c>
      <c r="B228" s="2">
        <v>45951</v>
      </c>
      <c r="C228" t="s">
        <v>28</v>
      </c>
      <c r="D228" t="s">
        <v>18</v>
      </c>
      <c r="E228" t="s">
        <v>79</v>
      </c>
      <c r="F228" t="s">
        <v>64</v>
      </c>
      <c r="G228">
        <v>1</v>
      </c>
      <c r="H228" s="3">
        <v>9660</v>
      </c>
      <c r="I228" t="s">
        <v>34</v>
      </c>
      <c r="J228" t="s">
        <v>323</v>
      </c>
      <c r="K228" s="3">
        <f t="shared" si="24"/>
        <v>9660</v>
      </c>
      <c r="L228" s="4">
        <f t="shared" si="25"/>
        <v>0.05</v>
      </c>
      <c r="M228" s="3">
        <f t="shared" si="26"/>
        <v>9177</v>
      </c>
      <c r="N228" t="e">
        <f t="shared" ca="1" si="27"/>
        <v>#NAME?</v>
      </c>
      <c r="O228" t="str">
        <f t="shared" si="28"/>
        <v>October</v>
      </c>
      <c r="P228">
        <f t="shared" si="29"/>
        <v>10</v>
      </c>
      <c r="Q228">
        <f t="shared" si="30"/>
        <v>2025</v>
      </c>
      <c r="R228" t="str">
        <f t="shared" si="31"/>
        <v>Q4</v>
      </c>
    </row>
    <row r="229" spans="1:18" x14ac:dyDescent="0.3">
      <c r="A229" t="s">
        <v>292</v>
      </c>
      <c r="B229" s="2">
        <v>45937</v>
      </c>
      <c r="C229" t="s">
        <v>40</v>
      </c>
      <c r="D229" t="s">
        <v>12</v>
      </c>
      <c r="E229" t="s">
        <v>24</v>
      </c>
      <c r="F229" t="s">
        <v>25</v>
      </c>
      <c r="G229">
        <v>2</v>
      </c>
      <c r="H229" s="3">
        <v>800</v>
      </c>
      <c r="I229" t="s">
        <v>72</v>
      </c>
      <c r="J229" t="s">
        <v>31</v>
      </c>
      <c r="K229" s="3">
        <f t="shared" si="24"/>
        <v>1600</v>
      </c>
      <c r="L229" s="4">
        <f t="shared" si="25"/>
        <v>0.05</v>
      </c>
      <c r="M229" s="3">
        <f t="shared" si="26"/>
        <v>1520</v>
      </c>
      <c r="N229" t="e">
        <f t="shared" ca="1" si="27"/>
        <v>#NAME?</v>
      </c>
      <c r="O229" t="str">
        <f t="shared" si="28"/>
        <v>October</v>
      </c>
      <c r="P229">
        <f t="shared" si="29"/>
        <v>10</v>
      </c>
      <c r="Q229">
        <f t="shared" si="30"/>
        <v>2025</v>
      </c>
      <c r="R229" t="str">
        <f t="shared" si="31"/>
        <v>Q4</v>
      </c>
    </row>
    <row r="230" spans="1:18" x14ac:dyDescent="0.3">
      <c r="A230" t="s">
        <v>293</v>
      </c>
      <c r="B230" s="2">
        <v>45982</v>
      </c>
      <c r="C230" t="s">
        <v>40</v>
      </c>
      <c r="D230" t="s">
        <v>36</v>
      </c>
      <c r="E230" t="s">
        <v>41</v>
      </c>
      <c r="F230" t="s">
        <v>14</v>
      </c>
      <c r="G230">
        <v>2</v>
      </c>
      <c r="H230" s="3">
        <v>25360</v>
      </c>
      <c r="I230" t="s">
        <v>141</v>
      </c>
      <c r="J230" t="s">
        <v>16</v>
      </c>
      <c r="K230" s="3">
        <f t="shared" si="24"/>
        <v>50720</v>
      </c>
      <c r="L230" s="4">
        <f t="shared" si="25"/>
        <v>0.1</v>
      </c>
      <c r="M230" s="3">
        <f t="shared" si="26"/>
        <v>45648</v>
      </c>
      <c r="N230" t="e">
        <f t="shared" ca="1" si="27"/>
        <v>#NAME?</v>
      </c>
      <c r="O230" t="str">
        <f t="shared" si="28"/>
        <v>November</v>
      </c>
      <c r="P230">
        <f t="shared" si="29"/>
        <v>11</v>
      </c>
      <c r="Q230">
        <f t="shared" si="30"/>
        <v>2025</v>
      </c>
      <c r="R230" t="str">
        <f t="shared" si="31"/>
        <v>Q4</v>
      </c>
    </row>
    <row r="231" spans="1:18" x14ac:dyDescent="0.3">
      <c r="A231" t="s">
        <v>294</v>
      </c>
      <c r="B231" s="2">
        <v>45755</v>
      </c>
      <c r="C231" t="s">
        <v>40</v>
      </c>
      <c r="D231" t="s">
        <v>29</v>
      </c>
      <c r="E231" t="s">
        <v>13</v>
      </c>
      <c r="F231" t="s">
        <v>14</v>
      </c>
      <c r="G231">
        <v>2</v>
      </c>
      <c r="H231" s="3">
        <v>17720</v>
      </c>
      <c r="I231" t="s">
        <v>72</v>
      </c>
      <c r="J231" t="s">
        <v>42</v>
      </c>
      <c r="K231" s="3">
        <f t="shared" si="24"/>
        <v>35440</v>
      </c>
      <c r="L231" s="4">
        <f t="shared" si="25"/>
        <v>0.05</v>
      </c>
      <c r="M231" s="3">
        <f t="shared" si="26"/>
        <v>33668</v>
      </c>
      <c r="N231" t="e">
        <f t="shared" ca="1" si="27"/>
        <v>#NAME?</v>
      </c>
      <c r="O231" t="str">
        <f t="shared" si="28"/>
        <v>April</v>
      </c>
      <c r="P231">
        <f t="shared" si="29"/>
        <v>4</v>
      </c>
      <c r="Q231">
        <f t="shared" si="30"/>
        <v>2025</v>
      </c>
      <c r="R231" t="str">
        <f t="shared" si="31"/>
        <v>Q2</v>
      </c>
    </row>
    <row r="232" spans="1:18" x14ac:dyDescent="0.3">
      <c r="A232" t="s">
        <v>295</v>
      </c>
      <c r="B232" s="2">
        <v>45855</v>
      </c>
      <c r="C232" t="s">
        <v>11</v>
      </c>
      <c r="D232" t="s">
        <v>57</v>
      </c>
      <c r="E232" t="s">
        <v>45</v>
      </c>
      <c r="F232" t="s">
        <v>46</v>
      </c>
      <c r="G232">
        <v>1</v>
      </c>
      <c r="H232" s="3">
        <v>12300</v>
      </c>
      <c r="I232" t="s">
        <v>77</v>
      </c>
      <c r="J232" t="s">
        <v>323</v>
      </c>
      <c r="K232" s="3">
        <f t="shared" si="24"/>
        <v>12300</v>
      </c>
      <c r="L232" s="4">
        <f t="shared" si="25"/>
        <v>0.05</v>
      </c>
      <c r="M232" s="3">
        <f t="shared" si="26"/>
        <v>11685</v>
      </c>
      <c r="N232" t="e">
        <f t="shared" ca="1" si="27"/>
        <v>#NAME?</v>
      </c>
      <c r="O232" t="str">
        <f t="shared" si="28"/>
        <v>July</v>
      </c>
      <c r="P232">
        <f t="shared" si="29"/>
        <v>7</v>
      </c>
      <c r="Q232">
        <f t="shared" si="30"/>
        <v>2025</v>
      </c>
      <c r="R232" t="str">
        <f t="shared" si="31"/>
        <v>Q3</v>
      </c>
    </row>
    <row r="233" spans="1:18" x14ac:dyDescent="0.3">
      <c r="A233" t="s">
        <v>296</v>
      </c>
      <c r="B233" s="2">
        <v>45897</v>
      </c>
      <c r="C233" t="s">
        <v>40</v>
      </c>
      <c r="D233" t="s">
        <v>18</v>
      </c>
      <c r="E233" t="s">
        <v>33</v>
      </c>
      <c r="F233" t="s">
        <v>25</v>
      </c>
      <c r="G233">
        <v>5</v>
      </c>
      <c r="H233" s="3">
        <v>1470</v>
      </c>
      <c r="I233" t="s">
        <v>26</v>
      </c>
      <c r="J233" t="s">
        <v>42</v>
      </c>
      <c r="K233" s="3">
        <f t="shared" si="24"/>
        <v>7350</v>
      </c>
      <c r="L233" s="4">
        <f t="shared" si="25"/>
        <v>0.05</v>
      </c>
      <c r="M233" s="3">
        <f t="shared" si="26"/>
        <v>6982.5</v>
      </c>
      <c r="N233" t="e">
        <f t="shared" ca="1" si="27"/>
        <v>#NAME?</v>
      </c>
      <c r="O233" t="str">
        <f t="shared" si="28"/>
        <v>August</v>
      </c>
      <c r="P233">
        <f t="shared" si="29"/>
        <v>8</v>
      </c>
      <c r="Q233">
        <f t="shared" si="30"/>
        <v>2025</v>
      </c>
      <c r="R233" t="str">
        <f t="shared" si="31"/>
        <v>Q3</v>
      </c>
    </row>
    <row r="234" spans="1:18" x14ac:dyDescent="0.3">
      <c r="A234" t="s">
        <v>297</v>
      </c>
      <c r="B234" s="2">
        <v>45801</v>
      </c>
      <c r="C234" t="s">
        <v>40</v>
      </c>
      <c r="D234" t="s">
        <v>57</v>
      </c>
      <c r="E234" t="s">
        <v>13</v>
      </c>
      <c r="F234" t="s">
        <v>14</v>
      </c>
      <c r="G234">
        <v>4</v>
      </c>
      <c r="H234" s="3">
        <v>17690</v>
      </c>
      <c r="I234" t="s">
        <v>101</v>
      </c>
      <c r="J234" t="s">
        <v>42</v>
      </c>
      <c r="K234" s="3">
        <f t="shared" si="24"/>
        <v>70760</v>
      </c>
      <c r="L234" s="4">
        <f t="shared" si="25"/>
        <v>0.1</v>
      </c>
      <c r="M234" s="3">
        <f t="shared" si="26"/>
        <v>63684</v>
      </c>
      <c r="N234" t="e">
        <f t="shared" ca="1" si="27"/>
        <v>#NAME?</v>
      </c>
      <c r="O234" t="str">
        <f t="shared" si="28"/>
        <v>May</v>
      </c>
      <c r="P234">
        <f t="shared" si="29"/>
        <v>5</v>
      </c>
      <c r="Q234">
        <f t="shared" si="30"/>
        <v>2025</v>
      </c>
      <c r="R234" t="str">
        <f t="shared" si="31"/>
        <v>Q2</v>
      </c>
    </row>
    <row r="235" spans="1:18" x14ac:dyDescent="0.3">
      <c r="A235" t="s">
        <v>298</v>
      </c>
      <c r="B235" s="2">
        <v>45754</v>
      </c>
      <c r="C235" t="s">
        <v>11</v>
      </c>
      <c r="D235" t="s">
        <v>18</v>
      </c>
      <c r="E235" t="s">
        <v>45</v>
      </c>
      <c r="F235" t="s">
        <v>46</v>
      </c>
      <c r="G235">
        <v>5</v>
      </c>
      <c r="H235" s="3">
        <v>12190</v>
      </c>
      <c r="I235" t="s">
        <v>108</v>
      </c>
      <c r="J235" t="s">
        <v>42</v>
      </c>
      <c r="K235" s="3">
        <f t="shared" si="24"/>
        <v>60950</v>
      </c>
      <c r="L235" s="4">
        <f t="shared" si="25"/>
        <v>0.1</v>
      </c>
      <c r="M235" s="3">
        <f t="shared" si="26"/>
        <v>54855</v>
      </c>
      <c r="N235" t="e">
        <f t="shared" ca="1" si="27"/>
        <v>#NAME?</v>
      </c>
      <c r="O235" t="str">
        <f t="shared" si="28"/>
        <v>April</v>
      </c>
      <c r="P235">
        <f t="shared" si="29"/>
        <v>4</v>
      </c>
      <c r="Q235">
        <f t="shared" si="30"/>
        <v>2025</v>
      </c>
      <c r="R235" t="str">
        <f t="shared" si="31"/>
        <v>Q2</v>
      </c>
    </row>
    <row r="236" spans="1:18" x14ac:dyDescent="0.3">
      <c r="A236" t="s">
        <v>299</v>
      </c>
      <c r="B236" s="2">
        <v>45858</v>
      </c>
      <c r="C236" t="s">
        <v>40</v>
      </c>
      <c r="D236" t="s">
        <v>29</v>
      </c>
      <c r="E236" t="s">
        <v>37</v>
      </c>
      <c r="F236" t="s">
        <v>14</v>
      </c>
      <c r="G236">
        <v>10</v>
      </c>
      <c r="H236" s="3">
        <v>60160</v>
      </c>
      <c r="I236" t="s">
        <v>81</v>
      </c>
      <c r="J236" t="s">
        <v>323</v>
      </c>
      <c r="K236" s="3">
        <f t="shared" si="24"/>
        <v>601600</v>
      </c>
      <c r="L236" s="4">
        <f t="shared" si="25"/>
        <v>0.1</v>
      </c>
      <c r="M236" s="3">
        <f t="shared" si="26"/>
        <v>541440</v>
      </c>
      <c r="N236" t="e">
        <f t="shared" ca="1" si="27"/>
        <v>#NAME?</v>
      </c>
      <c r="O236" t="str">
        <f t="shared" si="28"/>
        <v>July</v>
      </c>
      <c r="P236">
        <f t="shared" si="29"/>
        <v>7</v>
      </c>
      <c r="Q236">
        <f t="shared" si="30"/>
        <v>2025</v>
      </c>
      <c r="R236" t="str">
        <f t="shared" si="31"/>
        <v>Q3</v>
      </c>
    </row>
    <row r="237" spans="1:18" x14ac:dyDescent="0.3">
      <c r="A237" t="s">
        <v>300</v>
      </c>
      <c r="B237" s="2">
        <v>45781</v>
      </c>
      <c r="C237" t="s">
        <v>11</v>
      </c>
      <c r="D237" t="s">
        <v>57</v>
      </c>
      <c r="E237" t="s">
        <v>37</v>
      </c>
      <c r="F237" t="s">
        <v>14</v>
      </c>
      <c r="G237">
        <v>5</v>
      </c>
      <c r="H237" s="3">
        <v>56090</v>
      </c>
      <c r="I237" t="s">
        <v>77</v>
      </c>
      <c r="J237" t="s">
        <v>16</v>
      </c>
      <c r="K237" s="3">
        <f t="shared" si="24"/>
        <v>280450</v>
      </c>
      <c r="L237" s="4">
        <f t="shared" si="25"/>
        <v>0.1</v>
      </c>
      <c r="M237" s="3">
        <f t="shared" si="26"/>
        <v>252405</v>
      </c>
      <c r="N237" t="e">
        <f t="shared" ca="1" si="27"/>
        <v>#NAME?</v>
      </c>
      <c r="O237" t="str">
        <f t="shared" si="28"/>
        <v>May</v>
      </c>
      <c r="P237">
        <f t="shared" si="29"/>
        <v>5</v>
      </c>
      <c r="Q237">
        <f t="shared" si="30"/>
        <v>2025</v>
      </c>
      <c r="R237" t="str">
        <f t="shared" si="31"/>
        <v>Q2</v>
      </c>
    </row>
    <row r="238" spans="1:18" x14ac:dyDescent="0.3">
      <c r="A238" t="s">
        <v>301</v>
      </c>
      <c r="B238" s="2">
        <v>45844</v>
      </c>
      <c r="C238" t="s">
        <v>11</v>
      </c>
      <c r="D238" t="s">
        <v>18</v>
      </c>
      <c r="E238" t="s">
        <v>19</v>
      </c>
      <c r="F238" t="s">
        <v>14</v>
      </c>
      <c r="G238">
        <v>1</v>
      </c>
      <c r="H238" s="3">
        <v>4450</v>
      </c>
      <c r="I238" t="s">
        <v>65</v>
      </c>
      <c r="J238" t="s">
        <v>31</v>
      </c>
      <c r="K238" s="3">
        <f t="shared" si="24"/>
        <v>4450</v>
      </c>
      <c r="L238" s="4">
        <f t="shared" si="25"/>
        <v>0.05</v>
      </c>
      <c r="M238" s="3">
        <f t="shared" si="26"/>
        <v>4227.5</v>
      </c>
      <c r="N238" t="e">
        <f t="shared" ca="1" si="27"/>
        <v>#NAME?</v>
      </c>
      <c r="O238" t="str">
        <f t="shared" si="28"/>
        <v>July</v>
      </c>
      <c r="P238">
        <f t="shared" si="29"/>
        <v>7</v>
      </c>
      <c r="Q238">
        <f t="shared" si="30"/>
        <v>2025</v>
      </c>
      <c r="R238" t="str">
        <f t="shared" si="31"/>
        <v>Q3</v>
      </c>
    </row>
    <row r="239" spans="1:18" x14ac:dyDescent="0.3">
      <c r="A239" t="s">
        <v>302</v>
      </c>
      <c r="B239" s="2">
        <v>45983</v>
      </c>
      <c r="C239" t="s">
        <v>11</v>
      </c>
      <c r="D239" t="s">
        <v>29</v>
      </c>
      <c r="E239" t="s">
        <v>41</v>
      </c>
      <c r="F239" t="s">
        <v>14</v>
      </c>
      <c r="G239">
        <v>1</v>
      </c>
      <c r="H239" s="3">
        <v>27720</v>
      </c>
      <c r="I239" t="s">
        <v>26</v>
      </c>
      <c r="J239" t="s">
        <v>323</v>
      </c>
      <c r="K239" s="3">
        <f t="shared" si="24"/>
        <v>27720</v>
      </c>
      <c r="L239" s="4">
        <f t="shared" si="25"/>
        <v>0.05</v>
      </c>
      <c r="M239" s="3">
        <f t="shared" si="26"/>
        <v>26334</v>
      </c>
      <c r="N239" t="e">
        <f t="shared" ca="1" si="27"/>
        <v>#NAME?</v>
      </c>
      <c r="O239" t="str">
        <f t="shared" si="28"/>
        <v>November</v>
      </c>
      <c r="P239">
        <f t="shared" si="29"/>
        <v>11</v>
      </c>
      <c r="Q239">
        <f t="shared" si="30"/>
        <v>2025</v>
      </c>
      <c r="R239" t="str">
        <f t="shared" si="31"/>
        <v>Q4</v>
      </c>
    </row>
    <row r="240" spans="1:18" x14ac:dyDescent="0.3">
      <c r="A240" t="s">
        <v>303</v>
      </c>
      <c r="B240" s="2">
        <v>46006</v>
      </c>
      <c r="C240" t="s">
        <v>44</v>
      </c>
      <c r="D240" t="s">
        <v>29</v>
      </c>
      <c r="E240" t="s">
        <v>41</v>
      </c>
      <c r="F240" t="s">
        <v>14</v>
      </c>
      <c r="G240">
        <v>3</v>
      </c>
      <c r="H240" s="3">
        <v>26140</v>
      </c>
      <c r="I240" t="s">
        <v>81</v>
      </c>
      <c r="J240" t="s">
        <v>16</v>
      </c>
      <c r="K240" s="3">
        <f t="shared" si="24"/>
        <v>78420</v>
      </c>
      <c r="L240" s="4">
        <f t="shared" si="25"/>
        <v>0.1</v>
      </c>
      <c r="M240" s="3">
        <f t="shared" si="26"/>
        <v>70578</v>
      </c>
      <c r="N240" t="e">
        <f t="shared" ca="1" si="27"/>
        <v>#NAME?</v>
      </c>
      <c r="O240" t="str">
        <f t="shared" si="28"/>
        <v>December</v>
      </c>
      <c r="P240">
        <f t="shared" si="29"/>
        <v>12</v>
      </c>
      <c r="Q240">
        <f t="shared" si="30"/>
        <v>2025</v>
      </c>
      <c r="R240" t="str">
        <f t="shared" si="31"/>
        <v>Q4</v>
      </c>
    </row>
    <row r="241" spans="1:18" x14ac:dyDescent="0.3">
      <c r="A241" t="s">
        <v>304</v>
      </c>
      <c r="B241" s="2">
        <v>45916</v>
      </c>
      <c r="C241" t="s">
        <v>11</v>
      </c>
      <c r="D241" t="s">
        <v>36</v>
      </c>
      <c r="E241" t="s">
        <v>30</v>
      </c>
      <c r="F241" t="s">
        <v>25</v>
      </c>
      <c r="G241">
        <v>2</v>
      </c>
      <c r="H241" s="3">
        <v>2640</v>
      </c>
      <c r="I241" t="s">
        <v>77</v>
      </c>
      <c r="J241" t="s">
        <v>16</v>
      </c>
      <c r="K241" s="3">
        <f t="shared" si="24"/>
        <v>5280</v>
      </c>
      <c r="L241" s="4">
        <f t="shared" si="25"/>
        <v>0.05</v>
      </c>
      <c r="M241" s="3">
        <f t="shared" si="26"/>
        <v>5016</v>
      </c>
      <c r="N241" t="e">
        <f t="shared" ca="1" si="27"/>
        <v>#NAME?</v>
      </c>
      <c r="O241" t="str">
        <f t="shared" si="28"/>
        <v>September</v>
      </c>
      <c r="P241">
        <f t="shared" si="29"/>
        <v>9</v>
      </c>
      <c r="Q241">
        <f t="shared" si="30"/>
        <v>2025</v>
      </c>
      <c r="R241" t="str">
        <f t="shared" si="31"/>
        <v>Q3</v>
      </c>
    </row>
    <row r="242" spans="1:18" x14ac:dyDescent="0.3">
      <c r="A242" t="s">
        <v>305</v>
      </c>
      <c r="B242" s="2">
        <v>45805</v>
      </c>
      <c r="C242" t="s">
        <v>40</v>
      </c>
      <c r="D242" t="s">
        <v>12</v>
      </c>
      <c r="E242" t="s">
        <v>45</v>
      </c>
      <c r="F242" t="s">
        <v>46</v>
      </c>
      <c r="G242">
        <v>2</v>
      </c>
      <c r="H242" s="3">
        <v>11450</v>
      </c>
      <c r="I242" t="s">
        <v>81</v>
      </c>
      <c r="J242" t="s">
        <v>31</v>
      </c>
      <c r="K242" s="3">
        <f t="shared" si="24"/>
        <v>22900</v>
      </c>
      <c r="L242" s="4">
        <f t="shared" si="25"/>
        <v>0.05</v>
      </c>
      <c r="M242" s="3">
        <f t="shared" si="26"/>
        <v>21755</v>
      </c>
      <c r="N242" t="e">
        <f t="shared" ca="1" si="27"/>
        <v>#NAME?</v>
      </c>
      <c r="O242" t="str">
        <f t="shared" si="28"/>
        <v>May</v>
      </c>
      <c r="P242">
        <f t="shared" si="29"/>
        <v>5</v>
      </c>
      <c r="Q242">
        <f t="shared" si="30"/>
        <v>2025</v>
      </c>
      <c r="R242" t="str">
        <f t="shared" si="31"/>
        <v>Q2</v>
      </c>
    </row>
    <row r="243" spans="1:18" x14ac:dyDescent="0.3">
      <c r="A243" t="s">
        <v>306</v>
      </c>
      <c r="B243" s="2">
        <v>45909</v>
      </c>
      <c r="C243" t="s">
        <v>40</v>
      </c>
      <c r="D243" t="s">
        <v>57</v>
      </c>
      <c r="E243" t="s">
        <v>19</v>
      </c>
      <c r="F243" t="s">
        <v>14</v>
      </c>
      <c r="G243">
        <v>1</v>
      </c>
      <c r="H243" s="3">
        <v>4160</v>
      </c>
      <c r="I243" t="s">
        <v>81</v>
      </c>
      <c r="J243" t="s">
        <v>323</v>
      </c>
      <c r="K243" s="3">
        <f t="shared" si="24"/>
        <v>4160</v>
      </c>
      <c r="L243" s="4">
        <f t="shared" si="25"/>
        <v>0.05</v>
      </c>
      <c r="M243" s="3">
        <f t="shared" si="26"/>
        <v>3952</v>
      </c>
      <c r="N243" t="e">
        <f t="shared" ca="1" si="27"/>
        <v>#NAME?</v>
      </c>
      <c r="O243" t="str">
        <f t="shared" si="28"/>
        <v>September</v>
      </c>
      <c r="P243">
        <f t="shared" si="29"/>
        <v>9</v>
      </c>
      <c r="Q243">
        <f t="shared" si="30"/>
        <v>2025</v>
      </c>
      <c r="R243" t="str">
        <f t="shared" si="31"/>
        <v>Q3</v>
      </c>
    </row>
    <row r="244" spans="1:18" x14ac:dyDescent="0.3">
      <c r="A244" t="s">
        <v>307</v>
      </c>
      <c r="B244" s="2">
        <v>46003</v>
      </c>
      <c r="C244" t="s">
        <v>40</v>
      </c>
      <c r="D244" t="s">
        <v>36</v>
      </c>
      <c r="E244" t="s">
        <v>37</v>
      </c>
      <c r="F244" t="s">
        <v>14</v>
      </c>
      <c r="G244">
        <v>1</v>
      </c>
      <c r="H244" s="3">
        <v>49960</v>
      </c>
      <c r="I244" t="s">
        <v>15</v>
      </c>
      <c r="J244" t="s">
        <v>31</v>
      </c>
      <c r="K244" s="3">
        <f t="shared" si="24"/>
        <v>49960</v>
      </c>
      <c r="L244" s="4">
        <f t="shared" si="25"/>
        <v>0.05</v>
      </c>
      <c r="M244" s="3">
        <f t="shared" si="26"/>
        <v>47462</v>
      </c>
      <c r="N244" t="e">
        <f t="shared" ca="1" si="27"/>
        <v>#NAME?</v>
      </c>
      <c r="O244" t="str">
        <f t="shared" si="28"/>
        <v>December</v>
      </c>
      <c r="P244">
        <f t="shared" si="29"/>
        <v>12</v>
      </c>
      <c r="Q244">
        <f t="shared" si="30"/>
        <v>2025</v>
      </c>
      <c r="R244" t="str">
        <f t="shared" si="31"/>
        <v>Q4</v>
      </c>
    </row>
    <row r="245" spans="1:18" x14ac:dyDescent="0.3">
      <c r="A245" t="s">
        <v>308</v>
      </c>
      <c r="B245" s="2">
        <v>45804</v>
      </c>
      <c r="C245" t="s">
        <v>44</v>
      </c>
      <c r="D245" t="s">
        <v>29</v>
      </c>
      <c r="E245" t="s">
        <v>13</v>
      </c>
      <c r="F245" t="s">
        <v>14</v>
      </c>
      <c r="G245">
        <v>10</v>
      </c>
      <c r="H245" s="3">
        <v>18500</v>
      </c>
      <c r="I245" t="s">
        <v>15</v>
      </c>
      <c r="J245" t="s">
        <v>16</v>
      </c>
      <c r="K245" s="3">
        <f t="shared" si="24"/>
        <v>185000</v>
      </c>
      <c r="L245" s="4">
        <f t="shared" si="25"/>
        <v>0.1</v>
      </c>
      <c r="M245" s="3">
        <f t="shared" si="26"/>
        <v>166500</v>
      </c>
      <c r="N245" t="e">
        <f t="shared" ca="1" si="27"/>
        <v>#NAME?</v>
      </c>
      <c r="O245" t="str">
        <f t="shared" si="28"/>
        <v>May</v>
      </c>
      <c r="P245">
        <f t="shared" si="29"/>
        <v>5</v>
      </c>
      <c r="Q245">
        <f t="shared" si="30"/>
        <v>2025</v>
      </c>
      <c r="R245" t="str">
        <f t="shared" si="31"/>
        <v>Q2</v>
      </c>
    </row>
    <row r="246" spans="1:18" x14ac:dyDescent="0.3">
      <c r="A246" t="s">
        <v>309</v>
      </c>
      <c r="B246" s="2">
        <v>45805</v>
      </c>
      <c r="C246" t="s">
        <v>40</v>
      </c>
      <c r="D246" t="s">
        <v>57</v>
      </c>
      <c r="E246" t="s">
        <v>45</v>
      </c>
      <c r="F246" t="s">
        <v>46</v>
      </c>
      <c r="G246">
        <v>2</v>
      </c>
      <c r="H246" s="3">
        <v>11100</v>
      </c>
      <c r="I246" t="s">
        <v>34</v>
      </c>
      <c r="J246" t="s">
        <v>31</v>
      </c>
      <c r="K246" s="3">
        <f t="shared" si="24"/>
        <v>22200</v>
      </c>
      <c r="L246" s="4">
        <f t="shared" si="25"/>
        <v>0.05</v>
      </c>
      <c r="M246" s="3">
        <f t="shared" si="26"/>
        <v>21090</v>
      </c>
      <c r="N246" t="e">
        <f t="shared" ca="1" si="27"/>
        <v>#NAME?</v>
      </c>
      <c r="O246" t="str">
        <f t="shared" si="28"/>
        <v>May</v>
      </c>
      <c r="P246">
        <f t="shared" si="29"/>
        <v>5</v>
      </c>
      <c r="Q246">
        <f t="shared" si="30"/>
        <v>2025</v>
      </c>
      <c r="R246" t="str">
        <f t="shared" si="31"/>
        <v>Q2</v>
      </c>
    </row>
    <row r="247" spans="1:18" x14ac:dyDescent="0.3">
      <c r="A247" t="s">
        <v>310</v>
      </c>
      <c r="B247" s="2">
        <v>46009</v>
      </c>
      <c r="C247" t="s">
        <v>44</v>
      </c>
      <c r="D247" t="s">
        <v>12</v>
      </c>
      <c r="E247" t="s">
        <v>13</v>
      </c>
      <c r="F247" t="s">
        <v>14</v>
      </c>
      <c r="G247">
        <v>4</v>
      </c>
      <c r="H247" s="3">
        <v>16780</v>
      </c>
      <c r="I247" t="s">
        <v>75</v>
      </c>
      <c r="J247" t="s">
        <v>323</v>
      </c>
      <c r="K247" s="3">
        <f t="shared" si="24"/>
        <v>67120</v>
      </c>
      <c r="L247" s="4">
        <f t="shared" si="25"/>
        <v>0.1</v>
      </c>
      <c r="M247" s="3">
        <f t="shared" si="26"/>
        <v>60408</v>
      </c>
      <c r="N247" t="e">
        <f t="shared" ca="1" si="27"/>
        <v>#NAME?</v>
      </c>
      <c r="O247" t="str">
        <f t="shared" si="28"/>
        <v>December</v>
      </c>
      <c r="P247">
        <f t="shared" si="29"/>
        <v>12</v>
      </c>
      <c r="Q247">
        <f t="shared" si="30"/>
        <v>2025</v>
      </c>
      <c r="R247" t="str">
        <f t="shared" si="31"/>
        <v>Q4</v>
      </c>
    </row>
    <row r="248" spans="1:18" x14ac:dyDescent="0.3">
      <c r="A248" t="s">
        <v>311</v>
      </c>
      <c r="B248" s="2">
        <v>45856</v>
      </c>
      <c r="C248" t="s">
        <v>28</v>
      </c>
      <c r="D248" t="s">
        <v>18</v>
      </c>
      <c r="E248" t="s">
        <v>45</v>
      </c>
      <c r="F248" t="s">
        <v>46</v>
      </c>
      <c r="G248">
        <v>2</v>
      </c>
      <c r="H248" s="3">
        <v>13110</v>
      </c>
      <c r="I248" t="s">
        <v>53</v>
      </c>
      <c r="J248" t="s">
        <v>16</v>
      </c>
      <c r="K248" s="3">
        <f t="shared" si="24"/>
        <v>26220</v>
      </c>
      <c r="L248" s="4">
        <f t="shared" si="25"/>
        <v>0.05</v>
      </c>
      <c r="M248" s="3">
        <f t="shared" si="26"/>
        <v>24909</v>
      </c>
      <c r="N248" t="e">
        <f t="shared" ca="1" si="27"/>
        <v>#NAME?</v>
      </c>
      <c r="O248" t="str">
        <f t="shared" si="28"/>
        <v>July</v>
      </c>
      <c r="P248">
        <f t="shared" si="29"/>
        <v>7</v>
      </c>
      <c r="Q248">
        <f t="shared" si="30"/>
        <v>2025</v>
      </c>
      <c r="R248" t="str">
        <f t="shared" si="31"/>
        <v>Q3</v>
      </c>
    </row>
    <row r="249" spans="1:18" x14ac:dyDescent="0.3">
      <c r="A249" t="s">
        <v>312</v>
      </c>
      <c r="B249" s="2">
        <v>45965</v>
      </c>
      <c r="C249" t="s">
        <v>40</v>
      </c>
      <c r="D249" t="s">
        <v>12</v>
      </c>
      <c r="E249" t="s">
        <v>79</v>
      </c>
      <c r="F249" t="s">
        <v>64</v>
      </c>
      <c r="G249">
        <v>1</v>
      </c>
      <c r="H249" s="3">
        <v>8540</v>
      </c>
      <c r="I249" t="s">
        <v>26</v>
      </c>
      <c r="J249" t="s">
        <v>16</v>
      </c>
      <c r="K249" s="3">
        <f t="shared" si="24"/>
        <v>8540</v>
      </c>
      <c r="L249" s="4">
        <f t="shared" si="25"/>
        <v>0.05</v>
      </c>
      <c r="M249" s="3">
        <f t="shared" si="26"/>
        <v>8113</v>
      </c>
      <c r="N249" t="e">
        <f t="shared" ca="1" si="27"/>
        <v>#NAME?</v>
      </c>
      <c r="O249" t="str">
        <f t="shared" si="28"/>
        <v>November</v>
      </c>
      <c r="P249">
        <f t="shared" si="29"/>
        <v>11</v>
      </c>
      <c r="Q249">
        <f t="shared" si="30"/>
        <v>2025</v>
      </c>
      <c r="R249" t="str">
        <f t="shared" si="31"/>
        <v>Q4</v>
      </c>
    </row>
    <row r="250" spans="1:18" x14ac:dyDescent="0.3">
      <c r="A250" t="s">
        <v>313</v>
      </c>
      <c r="B250" s="2">
        <v>45785</v>
      </c>
      <c r="C250" t="s">
        <v>44</v>
      </c>
      <c r="D250" t="s">
        <v>12</v>
      </c>
      <c r="E250" t="s">
        <v>63</v>
      </c>
      <c r="F250" t="s">
        <v>64</v>
      </c>
      <c r="G250">
        <v>10</v>
      </c>
      <c r="H250" s="3">
        <v>7780</v>
      </c>
      <c r="I250" t="s">
        <v>72</v>
      </c>
      <c r="J250" t="s">
        <v>16</v>
      </c>
      <c r="K250" s="3">
        <f t="shared" si="24"/>
        <v>77800</v>
      </c>
      <c r="L250" s="4">
        <f t="shared" si="25"/>
        <v>0.1</v>
      </c>
      <c r="M250" s="3">
        <f t="shared" si="26"/>
        <v>70020</v>
      </c>
      <c r="N250" t="e">
        <f t="shared" ca="1" si="27"/>
        <v>#NAME?</v>
      </c>
      <c r="O250" t="str">
        <f t="shared" si="28"/>
        <v>May</v>
      </c>
      <c r="P250">
        <f t="shared" si="29"/>
        <v>5</v>
      </c>
      <c r="Q250">
        <f t="shared" si="30"/>
        <v>2025</v>
      </c>
      <c r="R250" t="str">
        <f t="shared" si="31"/>
        <v>Q2</v>
      </c>
    </row>
    <row r="251" spans="1:18" x14ac:dyDescent="0.3">
      <c r="A251" t="s">
        <v>314</v>
      </c>
      <c r="B251" s="2">
        <v>45696</v>
      </c>
      <c r="C251" t="s">
        <v>40</v>
      </c>
      <c r="D251" t="s">
        <v>36</v>
      </c>
      <c r="E251" t="s">
        <v>30</v>
      </c>
      <c r="F251" t="s">
        <v>25</v>
      </c>
      <c r="G251">
        <v>2</v>
      </c>
      <c r="H251" s="3">
        <v>2540</v>
      </c>
      <c r="I251" t="s">
        <v>141</v>
      </c>
      <c r="J251" t="s">
        <v>42</v>
      </c>
      <c r="K251" s="3">
        <f t="shared" si="24"/>
        <v>5080</v>
      </c>
      <c r="L251" s="4">
        <f t="shared" si="25"/>
        <v>0.05</v>
      </c>
      <c r="M251" s="3">
        <f t="shared" si="26"/>
        <v>4826</v>
      </c>
      <c r="N251" t="e">
        <f t="shared" ca="1" si="27"/>
        <v>#NAME?</v>
      </c>
      <c r="O251" t="str">
        <f t="shared" si="28"/>
        <v>February</v>
      </c>
      <c r="P251">
        <f t="shared" si="29"/>
        <v>2</v>
      </c>
      <c r="Q251">
        <f t="shared" si="30"/>
        <v>2025</v>
      </c>
      <c r="R251" t="str">
        <f t="shared" si="31"/>
        <v>Q1</v>
      </c>
    </row>
  </sheetData>
  <autoFilter ref="A1:R251" xr:uid="{00000000-0009-0000-0000-000001000000}"/>
  <conditionalFormatting sqref="K2:K251">
    <cfRule type="dataBar" priority="2">
      <dataBar>
        <cfvo type="min"/>
        <cfvo type="max"/>
        <color rgb="FF5B9BD5"/>
      </dataBar>
    </cfRule>
  </conditionalFormatting>
  <conditionalFormatting sqref="M2:M2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4" x14ac:dyDescent="0.3"/>
  <cols>
    <col min="1" max="1" width="24" customWidth="1"/>
    <col min="2" max="3" width="22" customWidth="1"/>
    <col min="4" max="4" width="4" customWidth="1"/>
    <col min="5" max="5" width="16" customWidth="1"/>
    <col min="6" max="6" width="32" customWidth="1"/>
    <col min="7" max="7" width="70" customWidth="1"/>
  </cols>
  <sheetData>
    <row r="1" spans="1:7" ht="23.4" x14ac:dyDescent="0.45">
      <c r="A1" s="5" t="s">
        <v>326</v>
      </c>
    </row>
    <row r="2" spans="1:7" x14ac:dyDescent="0.3">
      <c r="A2" s="6" t="s">
        <v>327</v>
      </c>
    </row>
    <row r="4" spans="1:7" x14ac:dyDescent="0.3">
      <c r="A4" s="7" t="s">
        <v>328</v>
      </c>
      <c r="B4" s="8">
        <f>SUM('Cleaned Data'!K2:K251)</f>
        <v>11034150</v>
      </c>
    </row>
    <row r="5" spans="1:7" x14ac:dyDescent="0.3">
      <c r="A5" s="7" t="s">
        <v>329</v>
      </c>
      <c r="B5" s="8">
        <f>SUM('Cleaned Data'!M2:M251)</f>
        <v>9984970</v>
      </c>
    </row>
    <row r="6" spans="1:7" x14ac:dyDescent="0.3">
      <c r="A6" s="7" t="s">
        <v>330</v>
      </c>
      <c r="B6" s="9">
        <f>COUNTA('Cleaned Data'!A2:A251)</f>
        <v>250</v>
      </c>
    </row>
    <row r="7" spans="1:7" x14ac:dyDescent="0.3">
      <c r="A7" s="7" t="s">
        <v>331</v>
      </c>
      <c r="B7" s="8">
        <f>AVERAGE('Cleaned Data'!M2:M251)</f>
        <v>40100.281124497989</v>
      </c>
    </row>
    <row r="8" spans="1:7" x14ac:dyDescent="0.3">
      <c r="A8" s="7" t="s">
        <v>332</v>
      </c>
      <c r="B8" s="8">
        <f>MAX('Cleaned Data'!M2:M251)</f>
        <v>541440</v>
      </c>
    </row>
    <row r="9" spans="1:7" x14ac:dyDescent="0.3">
      <c r="A9" s="7" t="s">
        <v>333</v>
      </c>
      <c r="B9" s="8">
        <f>MIN('Cleaned Data'!M2:M251)</f>
        <v>684</v>
      </c>
    </row>
    <row r="11" spans="1:7" ht="18" x14ac:dyDescent="0.35">
      <c r="A11" s="10" t="s">
        <v>334</v>
      </c>
      <c r="E11" s="10" t="s">
        <v>335</v>
      </c>
    </row>
    <row r="12" spans="1:7" x14ac:dyDescent="0.3">
      <c r="A12" s="11" t="s">
        <v>2</v>
      </c>
      <c r="B12" s="11" t="s">
        <v>336</v>
      </c>
      <c r="C12" s="11" t="s">
        <v>337</v>
      </c>
      <c r="E12" s="12" t="s">
        <v>338</v>
      </c>
      <c r="F12" t="s">
        <v>339</v>
      </c>
      <c r="G12" t="str">
        <f>TRIM('Cleaned Data'!I2)</f>
        <v>Royal Stores</v>
      </c>
    </row>
    <row r="13" spans="1:7" x14ac:dyDescent="0.3">
      <c r="A13" t="s">
        <v>28</v>
      </c>
      <c r="B13" s="3">
        <f>SUMIFS('Cleaned Data'!$M$2:$M$251,'Cleaned Data'!$C$2:$C$251,A13)</f>
        <v>1506802</v>
      </c>
      <c r="C13" s="16">
        <f>COUNTIFS('Cleaned Data'!$C$2:$C$251,A13)</f>
        <v>51</v>
      </c>
      <c r="E13" s="12" t="s">
        <v>340</v>
      </c>
      <c r="F13" t="s">
        <v>341</v>
      </c>
      <c r="G13" t="str">
        <f>UPPER('Cleaned Data'!C2)</f>
        <v>WEST</v>
      </c>
    </row>
    <row r="14" spans="1:7" x14ac:dyDescent="0.3">
      <c r="A14" t="s">
        <v>44</v>
      </c>
      <c r="B14" s="3">
        <f>SUMIFS('Cleaned Data'!$M$2:$M$251,'Cleaned Data'!$C$2:$C$251,A14)</f>
        <v>3269418.5</v>
      </c>
      <c r="C14" s="16">
        <f>COUNTIFS('Cleaned Data'!$C$2:$C$251,A14)</f>
        <v>75</v>
      </c>
      <c r="E14" s="12" t="s">
        <v>342</v>
      </c>
      <c r="F14" t="s">
        <v>343</v>
      </c>
      <c r="G14" t="str">
        <f>LEFT('Cleaned Data'!A2,3)</f>
        <v>ORD</v>
      </c>
    </row>
    <row r="15" spans="1:7" x14ac:dyDescent="0.3">
      <c r="A15" t="s">
        <v>40</v>
      </c>
      <c r="B15" s="3">
        <f>SUMIFS('Cleaned Data'!$M$2:$M$251,'Cleaned Data'!$C$2:$C$251,A15)</f>
        <v>2454753</v>
      </c>
      <c r="C15" s="16">
        <f>COUNTIFS('Cleaned Data'!$C$2:$C$251,A15)</f>
        <v>65</v>
      </c>
      <c r="E15" s="12" t="s">
        <v>344</v>
      </c>
      <c r="F15" t="s">
        <v>345</v>
      </c>
      <c r="G15" t="str">
        <f>TEXT('Cleaned Data'!B2,"mmmm")</f>
        <v>April</v>
      </c>
    </row>
    <row r="16" spans="1:7" x14ac:dyDescent="0.3">
      <c r="A16" t="s">
        <v>11</v>
      </c>
      <c r="B16" s="3">
        <f>SUMIFS('Cleaned Data'!$M$2:$M$251,'Cleaned Data'!$C$2:$C$251,A16)</f>
        <v>2753996.5</v>
      </c>
      <c r="C16" s="16">
        <f>COUNTIFS('Cleaned Data'!$C$2:$C$251,A16)</f>
        <v>59</v>
      </c>
      <c r="E16" s="12" t="s">
        <v>346</v>
      </c>
      <c r="F16" t="s">
        <v>347</v>
      </c>
      <c r="G16">
        <f>MONTH('Cleaned Data'!B2)</f>
        <v>4</v>
      </c>
    </row>
    <row r="17" spans="1:7" x14ac:dyDescent="0.3">
      <c r="E17" s="12" t="s">
        <v>348</v>
      </c>
      <c r="F17" t="s">
        <v>349</v>
      </c>
      <c r="G17">
        <f>YEAR('Cleaned Data'!B2)</f>
        <v>2025</v>
      </c>
    </row>
    <row r="19" spans="1:7" ht="18" x14ac:dyDescent="0.35">
      <c r="A19" s="10" t="s">
        <v>350</v>
      </c>
    </row>
    <row r="20" spans="1:7" x14ac:dyDescent="0.3">
      <c r="A20" t="s">
        <v>351</v>
      </c>
      <c r="B20" t="str">
        <f>IF('Cleaned Data'!M2&gt;=50000,"High","Low")</f>
        <v>High</v>
      </c>
    </row>
    <row r="21" spans="1:7" x14ac:dyDescent="0.3">
      <c r="A21" t="s">
        <v>352</v>
      </c>
      <c r="B21" t="e">
        <f ca="1">_xludf.IFS('Cleaned Data'!M2&gt;=100000,"Excellent",'Cleaned Data'!M2&gt;=50000,"Good",'Cleaned Data'!M2&gt;=10000,"Average",TRUE,"Low")</f>
        <v>#NAME?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zoomScale="78" workbookViewId="0"/>
  </sheetViews>
  <sheetFormatPr defaultRowHeight="14.4" x14ac:dyDescent="0.3"/>
  <cols>
    <col min="1" max="8" width="24" customWidth="1"/>
  </cols>
  <sheetData>
    <row r="1" spans="1:8" ht="23.4" x14ac:dyDescent="0.45">
      <c r="A1" s="5" t="s">
        <v>353</v>
      </c>
    </row>
    <row r="3" spans="1:8" ht="18" x14ac:dyDescent="0.35">
      <c r="A3" s="10" t="s">
        <v>354</v>
      </c>
      <c r="F3" s="10" t="s">
        <v>355</v>
      </c>
    </row>
    <row r="4" spans="1:8" x14ac:dyDescent="0.3">
      <c r="A4" s="11" t="s">
        <v>2</v>
      </c>
      <c r="B4" s="11" t="s">
        <v>356</v>
      </c>
      <c r="C4" s="11" t="s">
        <v>357</v>
      </c>
      <c r="D4" s="11" t="s">
        <v>6</v>
      </c>
      <c r="F4" s="11" t="s">
        <v>5</v>
      </c>
      <c r="G4" s="11" t="s">
        <v>356</v>
      </c>
      <c r="H4" s="11" t="s">
        <v>357</v>
      </c>
    </row>
    <row r="5" spans="1:8" x14ac:dyDescent="0.3">
      <c r="A5" t="s">
        <v>28</v>
      </c>
      <c r="B5" s="3">
        <f>SUMIFS('Cleaned Data'!$M$2:$M$251,'Cleaned Data'!$C$2:$C$251,A5)</f>
        <v>1506802</v>
      </c>
      <c r="C5">
        <f>COUNTIFS('Cleaned Data'!$C$2:$C$251,A5)</f>
        <v>51</v>
      </c>
      <c r="D5">
        <f>SUMIFS('Cleaned Data'!$G$2:$G$251,'Cleaned Data'!$C$2:$C$251,A5)</f>
        <v>152</v>
      </c>
      <c r="F5" t="s">
        <v>25</v>
      </c>
      <c r="G5" s="3">
        <f>SUMIFS('Cleaned Data'!$M$2:$M$251,'Cleaned Data'!$F$2:$F$251,F5)</f>
        <v>405336.5</v>
      </c>
      <c r="H5">
        <f>COUNTIFS('Cleaned Data'!$F$2:$F$251,F5)</f>
        <v>73</v>
      </c>
    </row>
    <row r="6" spans="1:8" x14ac:dyDescent="0.3">
      <c r="A6" t="s">
        <v>44</v>
      </c>
      <c r="B6" s="3">
        <f>SUMIFS('Cleaned Data'!$M$2:$M$251,'Cleaned Data'!$C$2:$C$251,A6)</f>
        <v>3269418.5</v>
      </c>
      <c r="C6">
        <f>COUNTIFS('Cleaned Data'!$C$2:$C$251,A6)</f>
        <v>75</v>
      </c>
      <c r="D6">
        <f>SUMIFS('Cleaned Data'!$G$2:$G$251,'Cleaned Data'!$C$2:$C$251,A6)</f>
        <v>274</v>
      </c>
      <c r="F6" t="s">
        <v>14</v>
      </c>
      <c r="G6" s="3">
        <f>SUMIFS('Cleaned Data'!$M$2:$M$251,'Cleaned Data'!$F$2:$F$251,F6)</f>
        <v>7622397.5</v>
      </c>
      <c r="H6">
        <f>COUNTIFS('Cleaned Data'!$F$2:$F$251,F6)</f>
        <v>105</v>
      </c>
    </row>
    <row r="7" spans="1:8" x14ac:dyDescent="0.3">
      <c r="A7" t="s">
        <v>40</v>
      </c>
      <c r="B7" s="3">
        <f>SUMIFS('Cleaned Data'!$M$2:$M$251,'Cleaned Data'!$C$2:$C$251,A7)</f>
        <v>2454753</v>
      </c>
      <c r="C7">
        <f>COUNTIFS('Cleaned Data'!$C$2:$C$251,A7)</f>
        <v>65</v>
      </c>
      <c r="D7">
        <f>SUMIFS('Cleaned Data'!$G$2:$G$251,'Cleaned Data'!$C$2:$C$251,A7)</f>
        <v>191</v>
      </c>
      <c r="F7" t="s">
        <v>64</v>
      </c>
      <c r="G7" s="3">
        <f>SUMIFS('Cleaned Data'!$M$2:$M$251,'Cleaned Data'!$F$2:$F$251,F7)</f>
        <v>934425</v>
      </c>
      <c r="H7">
        <f>COUNTIFS('Cleaned Data'!$F$2:$F$251,F7)</f>
        <v>41</v>
      </c>
    </row>
    <row r="8" spans="1:8" x14ac:dyDescent="0.3">
      <c r="A8" t="s">
        <v>11</v>
      </c>
      <c r="B8" s="3">
        <f>SUMIFS('Cleaned Data'!$M$2:$M$251,'Cleaned Data'!$C$2:$C$251,A8)</f>
        <v>2753996.5</v>
      </c>
      <c r="C8">
        <f>COUNTIFS('Cleaned Data'!$C$2:$C$251,A8)</f>
        <v>59</v>
      </c>
      <c r="D8">
        <f>SUMIFS('Cleaned Data'!$G$2:$G$251,'Cleaned Data'!$C$2:$C$251,A8)</f>
        <v>188</v>
      </c>
      <c r="F8" t="s">
        <v>46</v>
      </c>
      <c r="G8" s="3">
        <f>SUMIFS('Cleaned Data'!$M$2:$M$251,'Cleaned Data'!$F$2:$F$251,F8)</f>
        <v>1022811</v>
      </c>
      <c r="H8">
        <f>COUNTIFS('Cleaned Data'!$F$2:$F$251,F8)</f>
        <v>31</v>
      </c>
    </row>
    <row r="9" spans="1:8" x14ac:dyDescent="0.3">
      <c r="G9" s="3">
        <f>SUMIFS('Cleaned Data'!$M$2:$M$251,'Cleaned Data'!$F$2:$F$251,F9)</f>
        <v>0</v>
      </c>
      <c r="H9">
        <f>COUNTIFS('Cleaned Data'!$F$2:$F$251,F9)</f>
        <v>0</v>
      </c>
    </row>
    <row r="12" spans="1:8" ht="18" x14ac:dyDescent="0.35">
      <c r="A12" s="10" t="s">
        <v>358</v>
      </c>
      <c r="F12" s="10" t="s">
        <v>359</v>
      </c>
    </row>
    <row r="13" spans="1:8" x14ac:dyDescent="0.3">
      <c r="A13" s="11" t="s">
        <v>3</v>
      </c>
      <c r="B13" s="11" t="s">
        <v>356</v>
      </c>
      <c r="C13" s="11" t="s">
        <v>357</v>
      </c>
      <c r="F13" s="11" t="s">
        <v>319</v>
      </c>
      <c r="G13" s="11" t="s">
        <v>356</v>
      </c>
    </row>
    <row r="14" spans="1:8" x14ac:dyDescent="0.3">
      <c r="A14" t="s">
        <v>12</v>
      </c>
      <c r="B14" s="3">
        <f>SUMIFS('Cleaned Data'!$M$2:$M$251,'Cleaned Data'!$D$2:$D$251,A14)</f>
        <v>1464426.5</v>
      </c>
      <c r="C14">
        <f>COUNTIFS('Cleaned Data'!$D$2:$D$251,A14)</f>
        <v>49</v>
      </c>
      <c r="F14" t="s">
        <v>360</v>
      </c>
      <c r="G14" s="3">
        <f>SUMIFS('Cleaned Data'!$M$2:$M$251,'Cleaned Data'!$O$2:$O$251,F14)</f>
        <v>256757.5</v>
      </c>
    </row>
    <row r="15" spans="1:8" x14ac:dyDescent="0.3">
      <c r="A15" t="s">
        <v>23</v>
      </c>
      <c r="B15" s="3">
        <f>SUMIFS('Cleaned Data'!$M$2:$M$251,'Cleaned Data'!$D$2:$D$251,A15)</f>
        <v>2133857</v>
      </c>
      <c r="C15">
        <f>COUNTIFS('Cleaned Data'!$D$2:$D$251,A15)</f>
        <v>38</v>
      </c>
      <c r="F15" t="s">
        <v>361</v>
      </c>
      <c r="G15" s="3">
        <f>SUMIFS('Cleaned Data'!$M$2:$M$251,'Cleaned Data'!$O$2:$O$251,F15)</f>
        <v>636433</v>
      </c>
    </row>
    <row r="16" spans="1:8" x14ac:dyDescent="0.3">
      <c r="A16" t="s">
        <v>18</v>
      </c>
      <c r="B16" s="3">
        <f>SUMIFS('Cleaned Data'!$M$2:$M$251,'Cleaned Data'!$D$2:$D$251,A16)</f>
        <v>1179533</v>
      </c>
      <c r="C16">
        <f>COUNTIFS('Cleaned Data'!$D$2:$D$251,A16)</f>
        <v>42</v>
      </c>
      <c r="F16" t="s">
        <v>362</v>
      </c>
      <c r="G16" s="3">
        <f>SUMIFS('Cleaned Data'!$M$2:$M$251,'Cleaned Data'!$O$2:$O$251,F16)</f>
        <v>489027</v>
      </c>
    </row>
    <row r="17" spans="1:7" x14ac:dyDescent="0.3">
      <c r="A17" t="s">
        <v>29</v>
      </c>
      <c r="B17" s="3">
        <f>SUMIFS('Cleaned Data'!$M$2:$M$251,'Cleaned Data'!$D$2:$D$251,A17)</f>
        <v>2295900.5</v>
      </c>
      <c r="C17">
        <f>COUNTIFS('Cleaned Data'!$D$2:$D$251,A17)</f>
        <v>41</v>
      </c>
      <c r="F17" t="s">
        <v>363</v>
      </c>
      <c r="G17" s="3">
        <f>SUMIFS('Cleaned Data'!$M$2:$M$251,'Cleaned Data'!$O$2:$O$251,F17)</f>
        <v>827187</v>
      </c>
    </row>
    <row r="18" spans="1:7" x14ac:dyDescent="0.3">
      <c r="A18" t="s">
        <v>36</v>
      </c>
      <c r="B18" s="3">
        <f>SUMIFS('Cleaned Data'!$M$2:$M$251,'Cleaned Data'!$D$2:$D$251,A18)</f>
        <v>1270551.5</v>
      </c>
      <c r="C18">
        <f>COUNTIFS('Cleaned Data'!$D$2:$D$251,A18)</f>
        <v>42</v>
      </c>
      <c r="F18" t="s">
        <v>364</v>
      </c>
      <c r="G18" s="3">
        <f>SUMIFS('Cleaned Data'!$M$2:$M$251,'Cleaned Data'!$O$2:$O$251,F18)</f>
        <v>1435881</v>
      </c>
    </row>
    <row r="19" spans="1:7" x14ac:dyDescent="0.3">
      <c r="A19" t="s">
        <v>57</v>
      </c>
      <c r="B19" s="3">
        <f>SUMIFS('Cleaned Data'!$M$2:$M$251,'Cleaned Data'!$D$2:$D$251,A19)</f>
        <v>1640701.5</v>
      </c>
      <c r="C19">
        <f>COUNTIFS('Cleaned Data'!$D$2:$D$251,A19)</f>
        <v>38</v>
      </c>
      <c r="F19" t="s">
        <v>365</v>
      </c>
      <c r="G19" s="3">
        <f>SUMIFS('Cleaned Data'!$M$2:$M$251,'Cleaned Data'!$O$2:$O$251,F19)</f>
        <v>689883.5</v>
      </c>
    </row>
    <row r="20" spans="1:7" x14ac:dyDescent="0.3">
      <c r="F20" t="s">
        <v>366</v>
      </c>
      <c r="G20" s="3">
        <f>SUMIFS('Cleaned Data'!$M$2:$M$251,'Cleaned Data'!$O$2:$O$251,F20)</f>
        <v>1595135</v>
      </c>
    </row>
    <row r="21" spans="1:7" x14ac:dyDescent="0.3">
      <c r="F21" t="s">
        <v>367</v>
      </c>
      <c r="G21" s="3">
        <f>SUMIFS('Cleaned Data'!$M$2:$M$251,'Cleaned Data'!$O$2:$O$251,F21)</f>
        <v>846861.5</v>
      </c>
    </row>
    <row r="22" spans="1:7" x14ac:dyDescent="0.3">
      <c r="F22" t="s">
        <v>368</v>
      </c>
      <c r="G22" s="3">
        <f>SUMIFS('Cleaned Data'!$M$2:$M$251,'Cleaned Data'!$O$2:$O$251,F22)</f>
        <v>450805</v>
      </c>
    </row>
    <row r="23" spans="1:7" x14ac:dyDescent="0.3">
      <c r="F23" t="s">
        <v>369</v>
      </c>
      <c r="G23" s="3">
        <f>SUMIFS('Cleaned Data'!$M$2:$M$251,'Cleaned Data'!$O$2:$O$251,F23)</f>
        <v>769029</v>
      </c>
    </row>
    <row r="24" spans="1:7" x14ac:dyDescent="0.3">
      <c r="F24" t="s">
        <v>370</v>
      </c>
      <c r="G24" s="3">
        <f>SUMIFS('Cleaned Data'!$M$2:$M$251,'Cleaned Data'!$O$2:$O$251,F24)</f>
        <v>1231958</v>
      </c>
    </row>
    <row r="25" spans="1:7" x14ac:dyDescent="0.3">
      <c r="F25" t="s">
        <v>371</v>
      </c>
      <c r="G25" s="3">
        <f>SUMIFS('Cleaned Data'!$M$2:$M$251,'Cleaned Data'!$O$2:$O$251,F25)</f>
        <v>756012.5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showGridLines="0" zoomScale="64" workbookViewId="0">
      <selection activeCell="N37" sqref="N37"/>
    </sheetView>
  </sheetViews>
  <sheetFormatPr defaultRowHeight="14.4" x14ac:dyDescent="0.3"/>
  <cols>
    <col min="1" max="13" width="14" customWidth="1"/>
  </cols>
  <sheetData>
    <row r="1" spans="1:11" ht="28.8" x14ac:dyDescent="0.55000000000000004">
      <c r="A1" s="13" t="s">
        <v>372</v>
      </c>
    </row>
    <row r="2" spans="1:11" x14ac:dyDescent="0.3">
      <c r="A2" s="6" t="s">
        <v>373</v>
      </c>
    </row>
    <row r="4" spans="1:11" x14ac:dyDescent="0.3">
      <c r="A4" s="17" t="s">
        <v>329</v>
      </c>
      <c r="B4" s="18"/>
      <c r="D4" s="17" t="s">
        <v>330</v>
      </c>
      <c r="E4" s="18"/>
      <c r="G4" s="17" t="s">
        <v>374</v>
      </c>
      <c r="H4" s="18"/>
      <c r="J4" s="17" t="s">
        <v>375</v>
      </c>
      <c r="K4" s="18"/>
    </row>
    <row r="5" spans="1:11" ht="21" x14ac:dyDescent="0.4">
      <c r="A5" s="21">
        <f>SUM('Cleaned Data'!M2:M251)</f>
        <v>9984970</v>
      </c>
      <c r="B5" s="18"/>
      <c r="D5" s="20">
        <f>COUNTA('Cleaned Data'!A2:A251)</f>
        <v>250</v>
      </c>
      <c r="E5" s="18"/>
      <c r="G5" s="21">
        <f>AVERAGE('Cleaned Data'!M2:M251)</f>
        <v>40100.281124497989</v>
      </c>
      <c r="H5" s="18"/>
      <c r="J5" s="20">
        <f>SUM('Cleaned Data'!G2:G251)</f>
        <v>805</v>
      </c>
      <c r="K5" s="18"/>
    </row>
    <row r="38" spans="1:13" ht="21" x14ac:dyDescent="0.4">
      <c r="A38" s="14" t="s">
        <v>376</v>
      </c>
    </row>
    <row r="39" spans="1:13" ht="31.95" customHeight="1" x14ac:dyDescent="0.3">
      <c r="A39" s="19" t="s">
        <v>377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31.95" customHeight="1" x14ac:dyDescent="0.3">
      <c r="A40" s="19" t="s">
        <v>378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31.95" customHeight="1" x14ac:dyDescent="0.3">
      <c r="A41" s="19" t="s">
        <v>379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31.95" customHeight="1" x14ac:dyDescent="0.3">
      <c r="A42" s="19" t="s">
        <v>380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31.95" customHeight="1" x14ac:dyDescent="0.3">
      <c r="A43" s="19" t="s">
        <v>381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31.95" customHeight="1" x14ac:dyDescent="0.3">
      <c r="A44" s="19" t="s">
        <v>382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</sheetData>
  <mergeCells count="14">
    <mergeCell ref="A4:B4"/>
    <mergeCell ref="G4:H4"/>
    <mergeCell ref="J4:K4"/>
    <mergeCell ref="A44:M44"/>
    <mergeCell ref="J5:K5"/>
    <mergeCell ref="D5:E5"/>
    <mergeCell ref="A5:B5"/>
    <mergeCell ref="G5:H5"/>
    <mergeCell ref="A40:M40"/>
    <mergeCell ref="D4:E4"/>
    <mergeCell ref="A39:M39"/>
    <mergeCell ref="A43:M43"/>
    <mergeCell ref="A41:M41"/>
    <mergeCell ref="A42:M4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11" t="s">
        <v>383</v>
      </c>
      <c r="B1" s="11" t="s">
        <v>384</v>
      </c>
    </row>
    <row r="2" spans="1:2" x14ac:dyDescent="0.3">
      <c r="A2" s="15" t="s">
        <v>385</v>
      </c>
      <c r="B2" s="15" t="s">
        <v>386</v>
      </c>
    </row>
    <row r="3" spans="1:2" x14ac:dyDescent="0.3">
      <c r="A3" s="15" t="s">
        <v>387</v>
      </c>
      <c r="B3" s="15" t="s">
        <v>388</v>
      </c>
    </row>
    <row r="4" spans="1:2" x14ac:dyDescent="0.3">
      <c r="A4" s="15" t="s">
        <v>389</v>
      </c>
      <c r="B4" s="15" t="s">
        <v>390</v>
      </c>
    </row>
    <row r="5" spans="1:2" x14ac:dyDescent="0.3">
      <c r="A5" s="15" t="s">
        <v>391</v>
      </c>
      <c r="B5" s="15" t="s">
        <v>392</v>
      </c>
    </row>
    <row r="6" spans="1:2" x14ac:dyDescent="0.3">
      <c r="A6" s="15" t="s">
        <v>393</v>
      </c>
      <c r="B6" s="15" t="s">
        <v>394</v>
      </c>
    </row>
    <row r="7" spans="1:2" x14ac:dyDescent="0.3">
      <c r="A7" s="15" t="s">
        <v>395</v>
      </c>
      <c r="B7" s="15" t="s">
        <v>396</v>
      </c>
    </row>
    <row r="8" spans="1:2" x14ac:dyDescent="0.3">
      <c r="A8" s="15" t="s">
        <v>397</v>
      </c>
      <c r="B8" s="15" t="s">
        <v>398</v>
      </c>
    </row>
    <row r="9" spans="1:2" x14ac:dyDescent="0.3">
      <c r="A9" s="15" t="s">
        <v>399</v>
      </c>
      <c r="B9" s="15" t="s">
        <v>400</v>
      </c>
    </row>
    <row r="10" spans="1:2" x14ac:dyDescent="0.3">
      <c r="A10" s="15" t="s">
        <v>401</v>
      </c>
      <c r="B10" s="15" t="s">
        <v>402</v>
      </c>
    </row>
    <row r="11" spans="1:2" x14ac:dyDescent="0.3">
      <c r="A11" s="15" t="s">
        <v>403</v>
      </c>
      <c r="B11" s="15" t="s">
        <v>404</v>
      </c>
    </row>
    <row r="12" spans="1:2" x14ac:dyDescent="0.3">
      <c r="A12" s="15" t="s">
        <v>405</v>
      </c>
      <c r="B12" s="15" t="s">
        <v>406</v>
      </c>
    </row>
    <row r="13" spans="1:2" x14ac:dyDescent="0.3">
      <c r="A13" s="15" t="s">
        <v>407</v>
      </c>
      <c r="B13" s="15" t="s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Analysis</vt:lpstr>
      <vt:lpstr>Pivot Analysis</vt:lpstr>
      <vt:lpstr>Dashboard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sathwiksoma8@outlook.com</cp:lastModifiedBy>
  <dcterms:created xsi:type="dcterms:W3CDTF">2026-09-26T08:00:05Z</dcterms:created>
  <dcterms:modified xsi:type="dcterms:W3CDTF">2026-09-28T15:19:36Z</dcterms:modified>
</cp:coreProperties>
</file>